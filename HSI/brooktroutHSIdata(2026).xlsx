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neonta365-my.sharepoint.com/personal/stichds_oneonta_edu/Documents/projects/otego-creek-brooktrout/"/>
    </mc:Choice>
  </mc:AlternateContent>
  <xr:revisionPtr revIDLastSave="1042" documentId="11_A607469AB113FBDFB59AB97870FCD368C280C64F" xr6:coauthVersionLast="47" xr6:coauthVersionMax="47" xr10:uidLastSave="{3355AE46-22C7-4B61-99DF-E265540FFE1E}"/>
  <bookViews>
    <workbookView xWindow="384" yWindow="384" windowWidth="17280" windowHeight="11724" firstSheet="4" activeTab="4" xr2:uid="{00000000-000D-0000-FFFF-FFFF00000000}"/>
  </bookViews>
  <sheets>
    <sheet name="Suitability Indices" sheetId="1" r:id="rId1"/>
    <sheet name="Vegetation and Pool Calculation" sheetId="2" r:id="rId2"/>
    <sheet name="Canopy and Cobble Calculation" sheetId="6" r:id="rId3"/>
    <sheet name="Riffle Substrate Calculation" sheetId="7" r:id="rId4"/>
    <sheet name="Additional Site Data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9" i="7" l="1"/>
  <c r="I29" i="7"/>
  <c r="K29" i="6"/>
  <c r="J29" i="6"/>
  <c r="J28" i="6"/>
  <c r="P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2" i="2"/>
  <c r="K28" i="6"/>
  <c r="K27" i="6"/>
  <c r="K27" i="7"/>
  <c r="J27" i="7"/>
  <c r="I27" i="7"/>
  <c r="J27" i="6"/>
  <c r="K26" i="7"/>
  <c r="J26" i="7"/>
  <c r="I26" i="7"/>
  <c r="K26" i="6"/>
  <c r="J26" i="6"/>
  <c r="K25" i="6"/>
  <c r="J25" i="6"/>
  <c r="R25" i="2"/>
  <c r="P25" i="2"/>
  <c r="O25" i="2"/>
  <c r="N25" i="2"/>
  <c r="N26" i="2"/>
  <c r="N27" i="2"/>
  <c r="N28" i="2"/>
  <c r="N29" i="2"/>
  <c r="G25" i="2"/>
  <c r="G26" i="2"/>
  <c r="G27" i="2"/>
  <c r="G28" i="2"/>
  <c r="G29" i="2"/>
  <c r="F29" i="2"/>
  <c r="F25" i="2"/>
  <c r="F26" i="2"/>
  <c r="F27" i="2"/>
  <c r="F28" i="2"/>
  <c r="J24" i="7"/>
  <c r="I24" i="7"/>
  <c r="K24" i="6"/>
  <c r="J24" i="6"/>
  <c r="R24" i="2"/>
  <c r="P24" i="2"/>
  <c r="O24" i="2"/>
  <c r="N24" i="2"/>
  <c r="G24" i="2"/>
  <c r="F24" i="2"/>
  <c r="K23" i="7"/>
  <c r="J23" i="7"/>
  <c r="I23" i="7"/>
  <c r="K23" i="6"/>
  <c r="J23" i="6"/>
  <c r="R23" i="2"/>
  <c r="P23" i="2"/>
  <c r="O23" i="2"/>
  <c r="N23" i="2"/>
  <c r="G23" i="2"/>
  <c r="F23" i="2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K24" i="7"/>
  <c r="I22" i="7"/>
  <c r="K22" i="7" s="1"/>
  <c r="I21" i="7"/>
  <c r="K21" i="7" s="1"/>
  <c r="I20" i="7"/>
  <c r="K20" i="7" s="1"/>
  <c r="I19" i="7"/>
  <c r="K19" i="7" s="1"/>
  <c r="I18" i="7"/>
  <c r="K18" i="7" s="1"/>
  <c r="I17" i="7"/>
  <c r="K17" i="7" s="1"/>
  <c r="I16" i="7"/>
  <c r="K16" i="7" s="1"/>
  <c r="I15" i="7"/>
  <c r="K15" i="7" s="1"/>
  <c r="I14" i="7"/>
  <c r="K14" i="7" s="1"/>
  <c r="I13" i="7"/>
  <c r="K13" i="7" s="1"/>
  <c r="I12" i="7"/>
  <c r="K12" i="7" s="1"/>
  <c r="I11" i="7"/>
  <c r="K11" i="7" s="1"/>
  <c r="I10" i="7"/>
  <c r="K10" i="7" s="1"/>
  <c r="I9" i="7"/>
  <c r="K9" i="7" s="1"/>
  <c r="I8" i="7"/>
  <c r="K8" i="7" s="1"/>
  <c r="I7" i="7"/>
  <c r="K7" i="7" s="1"/>
  <c r="I6" i="7"/>
  <c r="K6" i="7" s="1"/>
  <c r="I5" i="7"/>
  <c r="K5" i="7" s="1"/>
  <c r="I4" i="7"/>
  <c r="K4" i="7" s="1"/>
  <c r="I3" i="7"/>
  <c r="K3" i="7" s="1"/>
  <c r="K22" i="6"/>
  <c r="J22" i="6"/>
  <c r="K21" i="6"/>
  <c r="J21" i="6"/>
  <c r="K20" i="6"/>
  <c r="J20" i="6"/>
  <c r="K19" i="6"/>
  <c r="J19" i="6"/>
  <c r="K18" i="6"/>
  <c r="J18" i="6"/>
  <c r="K17" i="6"/>
  <c r="J17" i="6"/>
  <c r="K16" i="6"/>
  <c r="J16" i="6"/>
  <c r="K15" i="6"/>
  <c r="J15" i="6"/>
  <c r="K14" i="6"/>
  <c r="J14" i="6"/>
  <c r="K13" i="6"/>
  <c r="J13" i="6"/>
  <c r="K12" i="6"/>
  <c r="J12" i="6"/>
  <c r="K11" i="6"/>
  <c r="J11" i="6"/>
  <c r="K10" i="6"/>
  <c r="J10" i="6"/>
  <c r="K9" i="6"/>
  <c r="J9" i="6"/>
  <c r="K8" i="6"/>
  <c r="J8" i="6"/>
  <c r="K7" i="6"/>
  <c r="J7" i="6"/>
  <c r="K6" i="6"/>
  <c r="J6" i="6"/>
  <c r="K5" i="6"/>
  <c r="J5" i="6"/>
  <c r="K4" i="6"/>
  <c r="J4" i="6"/>
  <c r="J3" i="6"/>
  <c r="J2" i="6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4" i="2"/>
  <c r="F5" i="2"/>
  <c r="F6" i="2"/>
  <c r="N3" i="2"/>
  <c r="G3" i="2"/>
  <c r="F3" i="2"/>
  <c r="N2" i="2"/>
  <c r="G2" i="2"/>
  <c r="F2" i="2"/>
  <c r="R29" i="2" l="1"/>
  <c r="P29" i="2"/>
  <c r="O29" i="2"/>
  <c r="R28" i="2"/>
  <c r="P28" i="2"/>
  <c r="O28" i="2"/>
  <c r="R27" i="2"/>
  <c r="P27" i="2"/>
  <c r="O27" i="2"/>
  <c r="R26" i="2"/>
  <c r="P26" i="2"/>
  <c r="O26" i="2"/>
  <c r="R2" i="2"/>
  <c r="O2" i="2"/>
  <c r="R3" i="2"/>
  <c r="P3" i="2"/>
  <c r="O3" i="2"/>
</calcChain>
</file>

<file path=xl/sharedStrings.xml><?xml version="1.0" encoding="utf-8"?>
<sst xmlns="http://schemas.openxmlformats.org/spreadsheetml/2006/main" count="1896" uniqueCount="156">
  <si>
    <t>Original Values</t>
  </si>
  <si>
    <t>Site</t>
  </si>
  <si>
    <t>Date</t>
  </si>
  <si>
    <t>Temp (C) (V1)</t>
  </si>
  <si>
    <t>Temp &gt;15C</t>
  </si>
  <si>
    <t>DO (mg/L) (V3)</t>
  </si>
  <si>
    <t>Stream Width &gt;5m</t>
  </si>
  <si>
    <t>Max Depth (m) (V4)</t>
  </si>
  <si>
    <t>% In-Stream Cover (V6)</t>
  </si>
  <si>
    <t>Avg % Cobble (V8)</t>
  </si>
  <si>
    <t>Dominant Substrate Type (V9)</t>
  </si>
  <si>
    <t>% Pools (V10)</t>
  </si>
  <si>
    <t>Vegetation Index (V11)</t>
  </si>
  <si>
    <t>% Streamside Vegetation (V12)</t>
  </si>
  <si>
    <t>pH (V13)</t>
  </si>
  <si>
    <t>Pool Class (V15)</t>
  </si>
  <si>
    <t>Avg % Embeddedness (V16)</t>
  </si>
  <si>
    <t>Avg % Canopy Cover (V17)</t>
  </si>
  <si>
    <t>Suitability Indices</t>
  </si>
  <si>
    <t>V1</t>
  </si>
  <si>
    <t>V3</t>
  </si>
  <si>
    <t>V4</t>
  </si>
  <si>
    <t>V6(A)</t>
  </si>
  <si>
    <t>V6(B)</t>
  </si>
  <si>
    <t>V8</t>
  </si>
  <si>
    <t>V9</t>
  </si>
  <si>
    <t>V10</t>
  </si>
  <si>
    <t>V11</t>
  </si>
  <si>
    <t>V12</t>
  </si>
  <si>
    <t>V13</t>
  </si>
  <si>
    <t>V15</t>
  </si>
  <si>
    <t>V16 (B)</t>
  </si>
  <si>
    <t>V17</t>
  </si>
  <si>
    <t xml:space="preserve">*site dried up </t>
  </si>
  <si>
    <t>MB-205(1)</t>
  </si>
  <si>
    <t>yes</t>
  </si>
  <si>
    <t>WB-Unmarked</t>
  </si>
  <si>
    <t>no</t>
  </si>
  <si>
    <t>A</t>
  </si>
  <si>
    <t>WB-14(4)</t>
  </si>
  <si>
    <t>C</t>
  </si>
  <si>
    <t>WB-Goddard(2)</t>
  </si>
  <si>
    <t>MB-Piermott(1)</t>
  </si>
  <si>
    <t>CB-205(1)</t>
  </si>
  <si>
    <t>WB-Evans(1)</t>
  </si>
  <si>
    <t>WB-Lena(1)</t>
  </si>
  <si>
    <t>B</t>
  </si>
  <si>
    <t>WB-14(2)</t>
  </si>
  <si>
    <t>Trib-11</t>
  </si>
  <si>
    <t>WB-Gardner Town(1)</t>
  </si>
  <si>
    <t>WB-Blue Jay Hollow(2)</t>
  </si>
  <si>
    <t>MB-11D(1)</t>
  </si>
  <si>
    <t>WB-11(1)</t>
  </si>
  <si>
    <t>MB-Angel(1)</t>
  </si>
  <si>
    <t>KB-205(1)</t>
  </si>
  <si>
    <t>MB-11A(1)</t>
  </si>
  <si>
    <t>MB-11B(1)</t>
  </si>
  <si>
    <t>MB-205(5)</t>
  </si>
  <si>
    <t>LB-Gilbert</t>
  </si>
  <si>
    <t>MB-PleasantValley</t>
  </si>
  <si>
    <t>HC-23(5)</t>
  </si>
  <si>
    <t>WC-New(2)</t>
  </si>
  <si>
    <t>*MB-Piermott(2)</t>
  </si>
  <si>
    <t>-</t>
  </si>
  <si>
    <t>*MB-Back(2)</t>
  </si>
  <si>
    <t>*MB-Manley(1)</t>
  </si>
  <si>
    <t>*MB-11(6)</t>
  </si>
  <si>
    <t>*Trib-StateLand</t>
  </si>
  <si>
    <t>*WB-WHill(1)</t>
  </si>
  <si>
    <t>Trib-Forest(1)</t>
  </si>
  <si>
    <t>Trib-Spur</t>
  </si>
  <si>
    <t>MB-23(1)</t>
  </si>
  <si>
    <t>MB-8</t>
  </si>
  <si>
    <t>Trib-GreaterPlains</t>
  </si>
  <si>
    <t>MB-PonyFarm(1)</t>
  </si>
  <si>
    <t>% Shrub</t>
  </si>
  <si>
    <t>% Grasses</t>
  </si>
  <si>
    <t>% Trees</t>
  </si>
  <si>
    <t>% Bare</t>
  </si>
  <si>
    <t>1st Class Pool Length (m)</t>
  </si>
  <si>
    <t>2nd Class Pool Length (m)</t>
  </si>
  <si>
    <t>3rd Class Pool Length (m)</t>
  </si>
  <si>
    <t>Riffle 1 Length (m)</t>
  </si>
  <si>
    <t>Riffle 2 Length (m)</t>
  </si>
  <si>
    <t>Featurless Length (m)</t>
  </si>
  <si>
    <t>total reach length (m)</t>
  </si>
  <si>
    <t>% 1st class pools</t>
  </si>
  <si>
    <t>% 2nd class pools</t>
  </si>
  <si>
    <t>% 3rd class pools</t>
  </si>
  <si>
    <t>WB-GardnerTown(1)</t>
  </si>
  <si>
    <t>WB-BlueJayHollow(2)</t>
  </si>
  <si>
    <t>Transect</t>
  </si>
  <si>
    <t>Point</t>
  </si>
  <si>
    <t>% Canopy Cover</t>
  </si>
  <si>
    <t>% Cobble (10-40 cm)</t>
  </si>
  <si>
    <t>Riffle or Pool</t>
  </si>
  <si>
    <t>MB-205 (1)</t>
  </si>
  <si>
    <t>Right</t>
  </si>
  <si>
    <t>course gravel</t>
  </si>
  <si>
    <t>?</t>
  </si>
  <si>
    <t xml:space="preserve">Middle </t>
  </si>
  <si>
    <t>fine gravel</t>
  </si>
  <si>
    <t>Left</t>
  </si>
  <si>
    <t>large cobble</t>
  </si>
  <si>
    <t xml:space="preserve">course cobble </t>
  </si>
  <si>
    <t>P</t>
  </si>
  <si>
    <t>NA</t>
  </si>
  <si>
    <t xml:space="preserve">R </t>
  </si>
  <si>
    <t>R</t>
  </si>
  <si>
    <t>O</t>
  </si>
  <si>
    <t>% Embeddedness</t>
  </si>
  <si>
    <t>Avg % Cobble</t>
  </si>
  <si>
    <t>Avg % Boulder</t>
  </si>
  <si>
    <t>US/DS of Road</t>
  </si>
  <si>
    <t>% Stability</t>
  </si>
  <si>
    <t>Wood Count</t>
  </si>
  <si>
    <t>E-Fishing</t>
  </si>
  <si>
    <t>Additional Notes</t>
  </si>
  <si>
    <t>DS</t>
  </si>
  <si>
    <t>Yes</t>
  </si>
  <si>
    <t>TEST RUN</t>
  </si>
  <si>
    <t>US</t>
  </si>
  <si>
    <t>very little flow, culvert, dirt road</t>
  </si>
  <si>
    <t>bridge, armored banks on roadside, flat cement bottom in pool 2, not great habitat</t>
  </si>
  <si>
    <t>bridge</t>
  </si>
  <si>
    <t>split bridge</t>
  </si>
  <si>
    <t xml:space="preserve">bridge, very wide, tree cover, long run downstream </t>
  </si>
  <si>
    <t>bridge, overhanging tree, metal scraps, riprap river left, concrete s;ab on TR-3</t>
  </si>
  <si>
    <t>parallel</t>
  </si>
  <si>
    <t>parallel to road</t>
  </si>
  <si>
    <t>culvert</t>
  </si>
  <si>
    <t>culvert under road, thick plants</t>
  </si>
  <si>
    <t>drop culvert</t>
  </si>
  <si>
    <t xml:space="preserve">culvert, very cold irony  - sulphury pool </t>
  </si>
  <si>
    <t>2nd riffle under the bridge, public fishing rights</t>
  </si>
  <si>
    <t>No</t>
  </si>
  <si>
    <t>featureless stretch between riffle and pool, bridge</t>
  </si>
  <si>
    <t>bridge, creek splits, very wide (&gt;5m), lots of algae, Japanese Knotweed, very diff than other sites, more minerals, high conductivity</t>
  </si>
  <si>
    <t xml:space="preserve">US </t>
  </si>
  <si>
    <t>split in pool, bridge, knotweed present</t>
  </si>
  <si>
    <t xml:space="preserve"> Yes</t>
  </si>
  <si>
    <t>lower water levels than usual, bridge, lots of algae</t>
  </si>
  <si>
    <t>deep water, potential risk, may affect efishing, &gt;5m width, BT presence observed</t>
  </si>
  <si>
    <t>MB-2025(5)</t>
  </si>
  <si>
    <t>&lt;5m wide, bridge, high fish presence, limestone structures</t>
  </si>
  <si>
    <t xml:space="preserve"> Maybe</t>
  </si>
  <si>
    <t>state park, very marshy/muddy, low water</t>
  </si>
  <si>
    <t>Maybe</t>
  </si>
  <si>
    <t>abundant brook trout present, best looking site so far</t>
  </si>
  <si>
    <t>streams gets smaller on other side, more shrubs, another class 2 pool downstream</t>
  </si>
  <si>
    <t>culvert, possible brook trout spotting, good site</t>
  </si>
  <si>
    <t>all embedded, featureless length, very deep, minimal canopy cover</t>
  </si>
  <si>
    <t>good site, culvert</t>
  </si>
  <si>
    <t>armored in several areas, elodia present, very wide</t>
  </si>
  <si>
    <t>otter spotting</t>
  </si>
  <si>
    <t>next to school lot, japanese knotweed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</si>
</sst>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b/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1" xfId="0" applyFont="1" applyBorder="1"/>
    <xf numFmtId="0" fontId="3" fillId="0" borderId="0" xfId="0" applyFont="1"/>
    <xf numFmtId="0" fontId="0" fillId="0" borderId="0" xfId="0" applyAlignment="1">
      <alignment wrapText="1"/>
    </xf>
    <xf numFmtId="0" fontId="0" fillId="2" borderId="1" xfId="0" applyFill="1" applyBorder="1"/>
    <xf numFmtId="2" fontId="0" fillId="0" borderId="0" xfId="0" applyNumberFormat="1"/>
    <xf numFmtId="0" fontId="0" fillId="3" borderId="0" xfId="0" applyFill="1"/>
    <xf numFmtId="164" fontId="0" fillId="0" borderId="0" xfId="0" applyNumberFormat="1"/>
    <xf numFmtId="0" fontId="0" fillId="4" borderId="0" xfId="0" applyFill="1"/>
    <xf numFmtId="164" fontId="0" fillId="0" borderId="0" xfId="0" applyNumberFormat="1" applyAlignment="1">
      <alignment wrapText="1"/>
    </xf>
    <xf numFmtId="164" fontId="0" fillId="3" borderId="0" xfId="0" applyNumberFormat="1" applyFill="1"/>
    <xf numFmtId="0" fontId="2" fillId="0" borderId="0" xfId="0" applyFont="1"/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14" fontId="0" fillId="0" borderId="0" xfId="0" applyNumberFormat="1"/>
    <xf numFmtId="0" fontId="0" fillId="3" borderId="1" xfId="0" applyFill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6"/>
  <sheetViews>
    <sheetView topLeftCell="S1" workbookViewId="0">
      <selection activeCell="AI36" sqref="AI36"/>
    </sheetView>
  </sheetViews>
  <sheetFormatPr defaultRowHeight="14.4" x14ac:dyDescent="0.3"/>
  <cols>
    <col min="1" max="1" width="14.6640625" bestFit="1" customWidth="1"/>
    <col min="2" max="2" width="21.109375" bestFit="1" customWidth="1"/>
    <col min="3" max="3" width="10.44140625" hidden="1" customWidth="1"/>
    <col min="4" max="4" width="13.33203125" bestFit="1" customWidth="1"/>
    <col min="5" max="5" width="11" bestFit="1" customWidth="1"/>
    <col min="7" max="7" width="17.88671875" bestFit="1" customWidth="1"/>
    <col min="8" max="8" width="18.5546875" bestFit="1" customWidth="1"/>
    <col min="9" max="9" width="21.88671875" bestFit="1" customWidth="1"/>
    <col min="10" max="10" width="17.109375" bestFit="1" customWidth="1"/>
    <col min="11" max="11" width="28" bestFit="1" customWidth="1"/>
    <col min="12" max="12" width="13" bestFit="1" customWidth="1"/>
    <col min="13" max="13" width="21.5546875" bestFit="1" customWidth="1"/>
    <col min="14" max="14" width="28.6640625" bestFit="1" customWidth="1"/>
    <col min="15" max="15" width="8.6640625" bestFit="1" customWidth="1"/>
    <col min="16" max="16" width="15.109375" bestFit="1" customWidth="1"/>
    <col min="17" max="17" width="25.88671875" bestFit="1" customWidth="1"/>
    <col min="18" max="18" width="24.5546875" bestFit="1" customWidth="1"/>
    <col min="20" max="20" width="17" bestFit="1" customWidth="1"/>
    <col min="21" max="23" width="4.109375" bestFit="1" customWidth="1"/>
    <col min="24" max="24" width="6" bestFit="1" customWidth="1"/>
    <col min="25" max="25" width="5.88671875" bestFit="1" customWidth="1"/>
    <col min="26" max="26" width="3.44140625" bestFit="1" customWidth="1"/>
    <col min="27" max="27" width="4.109375" bestFit="1" customWidth="1"/>
    <col min="28" max="32" width="4.5546875" bestFit="1" customWidth="1"/>
    <col min="33" max="33" width="7.44140625" bestFit="1" customWidth="1"/>
    <col min="34" max="34" width="4.5546875" bestFit="1" customWidth="1"/>
  </cols>
  <sheetData>
    <row r="1" spans="1:34" x14ac:dyDescent="0.3">
      <c r="A1" s="1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6" t="s">
        <v>14</v>
      </c>
      <c r="P1" s="2" t="s">
        <v>15</v>
      </c>
      <c r="Q1" s="2" t="s">
        <v>16</v>
      </c>
      <c r="R1" s="2" t="s">
        <v>17</v>
      </c>
      <c r="T1" s="4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</row>
    <row r="2" spans="1:34" x14ac:dyDescent="0.3">
      <c r="A2" t="s">
        <v>33</v>
      </c>
      <c r="B2" t="s">
        <v>34</v>
      </c>
      <c r="C2" s="16">
        <v>46202</v>
      </c>
      <c r="D2">
        <v>18.14</v>
      </c>
      <c r="E2" t="s">
        <v>35</v>
      </c>
      <c r="F2" s="7">
        <v>8.41</v>
      </c>
      <c r="G2" s="8"/>
      <c r="H2" s="8"/>
      <c r="I2" s="8"/>
      <c r="J2" s="8"/>
      <c r="K2" s="8"/>
      <c r="L2" s="8"/>
      <c r="M2">
        <v>122.5</v>
      </c>
      <c r="N2">
        <v>100</v>
      </c>
      <c r="O2">
        <v>7.66</v>
      </c>
      <c r="P2" s="8"/>
      <c r="Q2" s="8"/>
      <c r="R2">
        <v>42.881666666666668</v>
      </c>
      <c r="U2" s="9">
        <v>0.9</v>
      </c>
      <c r="V2">
        <v>1</v>
      </c>
      <c r="W2" s="8"/>
      <c r="X2" s="8"/>
      <c r="Y2" s="8"/>
      <c r="Z2" s="8"/>
      <c r="AA2" s="8"/>
      <c r="AB2" s="8"/>
      <c r="AC2">
        <v>1</v>
      </c>
      <c r="AD2">
        <v>1</v>
      </c>
      <c r="AE2">
        <v>1</v>
      </c>
      <c r="AF2" s="8"/>
      <c r="AG2" s="8"/>
      <c r="AH2">
        <v>0.9</v>
      </c>
    </row>
    <row r="3" spans="1:34" x14ac:dyDescent="0.3">
      <c r="B3" t="s">
        <v>36</v>
      </c>
      <c r="C3" s="16">
        <v>46203</v>
      </c>
      <c r="D3">
        <v>20.98</v>
      </c>
      <c r="E3" t="s">
        <v>35</v>
      </c>
      <c r="F3">
        <v>7.35</v>
      </c>
      <c r="G3" t="s">
        <v>37</v>
      </c>
      <c r="H3">
        <v>1.6</v>
      </c>
      <c r="I3">
        <v>35</v>
      </c>
      <c r="J3" s="8"/>
      <c r="K3" t="s">
        <v>38</v>
      </c>
      <c r="L3">
        <v>47.06</v>
      </c>
      <c r="M3">
        <v>115</v>
      </c>
      <c r="N3">
        <v>90</v>
      </c>
      <c r="O3" s="7">
        <v>6.9</v>
      </c>
      <c r="P3" t="s">
        <v>38</v>
      </c>
      <c r="Q3">
        <v>36.666666666666664</v>
      </c>
      <c r="R3">
        <v>73.128333333333345</v>
      </c>
      <c r="U3" s="9">
        <v>0.6</v>
      </c>
      <c r="V3">
        <v>0.8</v>
      </c>
      <c r="W3">
        <v>1</v>
      </c>
      <c r="X3">
        <v>1</v>
      </c>
      <c r="Y3">
        <v>1</v>
      </c>
      <c r="Z3" s="8"/>
      <c r="AA3" s="10">
        <v>1</v>
      </c>
      <c r="AB3">
        <v>1</v>
      </c>
      <c r="AC3">
        <v>0.9</v>
      </c>
      <c r="AD3">
        <v>1</v>
      </c>
      <c r="AE3">
        <v>1</v>
      </c>
      <c r="AF3">
        <v>1</v>
      </c>
      <c r="AG3">
        <v>0.6</v>
      </c>
      <c r="AH3">
        <v>1</v>
      </c>
    </row>
    <row r="4" spans="1:34" x14ac:dyDescent="0.3">
      <c r="B4" t="s">
        <v>39</v>
      </c>
      <c r="C4" s="16">
        <v>46203</v>
      </c>
      <c r="D4">
        <v>20.45</v>
      </c>
      <c r="E4" t="s">
        <v>35</v>
      </c>
      <c r="F4">
        <v>8.3800000000000008</v>
      </c>
      <c r="G4" t="s">
        <v>37</v>
      </c>
      <c r="H4">
        <v>0.6</v>
      </c>
      <c r="I4">
        <v>10</v>
      </c>
      <c r="J4">
        <v>39.166666666666664</v>
      </c>
      <c r="K4" t="s">
        <v>38</v>
      </c>
      <c r="L4">
        <v>33.9</v>
      </c>
      <c r="M4">
        <v>135</v>
      </c>
      <c r="N4">
        <v>90</v>
      </c>
      <c r="O4">
        <v>7.58</v>
      </c>
      <c r="P4" t="s">
        <v>40</v>
      </c>
      <c r="Q4">
        <v>35</v>
      </c>
      <c r="R4">
        <v>65.523333333333326</v>
      </c>
      <c r="U4" s="9">
        <v>0.7</v>
      </c>
      <c r="V4">
        <v>1</v>
      </c>
      <c r="W4">
        <v>1</v>
      </c>
      <c r="X4">
        <v>0.9</v>
      </c>
      <c r="Y4">
        <v>0.7</v>
      </c>
      <c r="Z4">
        <v>1</v>
      </c>
      <c r="AA4" s="10">
        <v>1</v>
      </c>
      <c r="AB4">
        <v>1</v>
      </c>
      <c r="AC4">
        <v>1</v>
      </c>
      <c r="AD4">
        <v>1</v>
      </c>
      <c r="AE4">
        <v>1</v>
      </c>
      <c r="AF4">
        <v>0.3</v>
      </c>
      <c r="AG4">
        <v>0.6</v>
      </c>
      <c r="AH4">
        <v>1</v>
      </c>
    </row>
    <row r="5" spans="1:34" x14ac:dyDescent="0.3">
      <c r="B5" t="s">
        <v>41</v>
      </c>
      <c r="C5" s="16">
        <v>46203</v>
      </c>
      <c r="D5">
        <v>19.71</v>
      </c>
      <c r="E5" t="s">
        <v>35</v>
      </c>
      <c r="F5">
        <v>8.09</v>
      </c>
      <c r="G5" t="s">
        <v>37</v>
      </c>
      <c r="H5">
        <v>0.3</v>
      </c>
      <c r="I5">
        <v>20</v>
      </c>
      <c r="J5">
        <v>38.333333333333336</v>
      </c>
      <c r="K5" t="s">
        <v>38</v>
      </c>
      <c r="L5">
        <v>48.8</v>
      </c>
      <c r="M5">
        <v>115</v>
      </c>
      <c r="N5">
        <v>90</v>
      </c>
      <c r="O5">
        <v>7.62</v>
      </c>
      <c r="P5" t="s">
        <v>40</v>
      </c>
      <c r="Q5">
        <v>26.666666666666668</v>
      </c>
      <c r="R5">
        <v>39.185833333333335</v>
      </c>
      <c r="U5" s="9">
        <v>0.8</v>
      </c>
      <c r="V5">
        <v>0.9</v>
      </c>
      <c r="W5">
        <v>1</v>
      </c>
      <c r="X5">
        <v>1</v>
      </c>
      <c r="Y5">
        <v>1</v>
      </c>
      <c r="Z5">
        <v>1</v>
      </c>
      <c r="AA5" s="10">
        <v>1</v>
      </c>
      <c r="AB5">
        <v>1</v>
      </c>
      <c r="AC5">
        <v>0.9</v>
      </c>
      <c r="AD5">
        <v>1</v>
      </c>
      <c r="AE5">
        <v>1</v>
      </c>
      <c r="AF5">
        <v>0.3</v>
      </c>
      <c r="AG5">
        <v>0.8</v>
      </c>
      <c r="AH5">
        <v>0.8</v>
      </c>
    </row>
    <row r="6" spans="1:34" x14ac:dyDescent="0.3">
      <c r="B6" t="s">
        <v>42</v>
      </c>
      <c r="C6" s="16">
        <v>46203</v>
      </c>
      <c r="D6">
        <v>17.09</v>
      </c>
      <c r="E6" t="s">
        <v>35</v>
      </c>
      <c r="F6">
        <v>8.26</v>
      </c>
      <c r="G6" t="s">
        <v>35</v>
      </c>
      <c r="H6">
        <v>0.9</v>
      </c>
      <c r="I6">
        <v>25</v>
      </c>
      <c r="J6">
        <v>53.333333333333336</v>
      </c>
      <c r="K6" t="s">
        <v>38</v>
      </c>
      <c r="L6">
        <v>57.1</v>
      </c>
      <c r="M6">
        <v>125</v>
      </c>
      <c r="N6">
        <v>100</v>
      </c>
      <c r="O6">
        <v>7.39</v>
      </c>
      <c r="P6" t="s">
        <v>40</v>
      </c>
      <c r="Q6">
        <v>20</v>
      </c>
      <c r="R6">
        <v>26.562499999999996</v>
      </c>
      <c r="U6" s="9">
        <v>1</v>
      </c>
      <c r="V6">
        <v>0.9</v>
      </c>
      <c r="W6">
        <v>1</v>
      </c>
      <c r="X6">
        <v>1</v>
      </c>
      <c r="Y6">
        <v>1</v>
      </c>
      <c r="Z6">
        <v>1</v>
      </c>
      <c r="AA6" s="10">
        <v>1</v>
      </c>
      <c r="AB6">
        <v>1</v>
      </c>
      <c r="AC6">
        <v>1</v>
      </c>
      <c r="AD6">
        <v>1</v>
      </c>
      <c r="AE6">
        <v>1</v>
      </c>
      <c r="AF6">
        <v>0.3</v>
      </c>
      <c r="AG6">
        <v>0.9</v>
      </c>
      <c r="AH6">
        <v>0.6</v>
      </c>
    </row>
    <row r="7" spans="1:34" x14ac:dyDescent="0.3">
      <c r="B7" t="s">
        <v>43</v>
      </c>
      <c r="C7" s="16">
        <v>46203</v>
      </c>
      <c r="D7">
        <v>17.350000000000001</v>
      </c>
      <c r="E7" t="s">
        <v>35</v>
      </c>
      <c r="F7">
        <v>8.83</v>
      </c>
      <c r="G7" t="s">
        <v>37</v>
      </c>
      <c r="H7">
        <v>1.3</v>
      </c>
      <c r="I7">
        <v>10</v>
      </c>
      <c r="J7">
        <v>51.25</v>
      </c>
      <c r="K7" t="s">
        <v>38</v>
      </c>
      <c r="L7">
        <v>36.5</v>
      </c>
      <c r="M7">
        <v>130</v>
      </c>
      <c r="N7">
        <v>95</v>
      </c>
      <c r="O7">
        <v>7.63</v>
      </c>
      <c r="P7" t="s">
        <v>40</v>
      </c>
      <c r="Q7">
        <v>26.666666666666668</v>
      </c>
      <c r="R7">
        <v>45.559166666666663</v>
      </c>
      <c r="U7" s="11">
        <v>1</v>
      </c>
      <c r="V7">
        <v>1</v>
      </c>
      <c r="W7">
        <v>1</v>
      </c>
      <c r="X7">
        <v>0.9</v>
      </c>
      <c r="Y7">
        <v>0.7</v>
      </c>
      <c r="Z7">
        <v>1</v>
      </c>
      <c r="AA7" s="10">
        <v>1</v>
      </c>
      <c r="AB7">
        <v>1</v>
      </c>
      <c r="AC7">
        <v>1</v>
      </c>
      <c r="AD7">
        <v>1</v>
      </c>
      <c r="AE7">
        <v>1</v>
      </c>
      <c r="AF7">
        <v>0.3</v>
      </c>
      <c r="AG7">
        <v>0.8</v>
      </c>
      <c r="AH7">
        <v>0.9</v>
      </c>
    </row>
    <row r="8" spans="1:34" x14ac:dyDescent="0.3">
      <c r="B8" t="s">
        <v>44</v>
      </c>
      <c r="C8" s="16">
        <v>46204</v>
      </c>
      <c r="D8" s="8"/>
      <c r="E8" s="8"/>
      <c r="F8">
        <v>8.81</v>
      </c>
      <c r="G8" t="s">
        <v>37</v>
      </c>
      <c r="H8">
        <v>0.5</v>
      </c>
      <c r="I8">
        <v>20</v>
      </c>
      <c r="J8">
        <v>51.666666666666664</v>
      </c>
      <c r="K8" t="s">
        <v>38</v>
      </c>
      <c r="L8">
        <v>16.3</v>
      </c>
      <c r="M8">
        <v>160</v>
      </c>
      <c r="N8">
        <v>90</v>
      </c>
      <c r="O8">
        <v>8.25</v>
      </c>
      <c r="P8" t="s">
        <v>40</v>
      </c>
      <c r="Q8">
        <v>21.666666666666668</v>
      </c>
      <c r="R8">
        <v>14.961666666666668</v>
      </c>
      <c r="U8" s="12"/>
      <c r="V8">
        <v>1</v>
      </c>
      <c r="W8">
        <v>1</v>
      </c>
      <c r="X8">
        <v>1</v>
      </c>
      <c r="Y8">
        <v>1</v>
      </c>
      <c r="Z8">
        <v>1</v>
      </c>
      <c r="AA8" s="10">
        <v>1</v>
      </c>
      <c r="AB8">
        <v>0.7</v>
      </c>
      <c r="AC8">
        <v>1</v>
      </c>
      <c r="AD8">
        <v>1</v>
      </c>
      <c r="AE8">
        <v>0.8</v>
      </c>
      <c r="AF8">
        <v>0.3</v>
      </c>
      <c r="AG8">
        <v>0.9</v>
      </c>
      <c r="AH8">
        <v>0.5</v>
      </c>
    </row>
    <row r="9" spans="1:34" x14ac:dyDescent="0.3">
      <c r="B9" t="s">
        <v>45</v>
      </c>
      <c r="C9" s="16">
        <v>46204</v>
      </c>
      <c r="D9" s="8"/>
      <c r="E9" s="8"/>
      <c r="F9">
        <v>8.98</v>
      </c>
      <c r="G9" t="s">
        <v>37</v>
      </c>
      <c r="H9">
        <v>0.8</v>
      </c>
      <c r="I9">
        <v>10</v>
      </c>
      <c r="J9">
        <v>31.25</v>
      </c>
      <c r="K9" t="s">
        <v>46</v>
      </c>
      <c r="L9">
        <v>62.5</v>
      </c>
      <c r="M9">
        <v>140</v>
      </c>
      <c r="N9">
        <v>90</v>
      </c>
      <c r="O9">
        <v>7.23</v>
      </c>
      <c r="P9" t="s">
        <v>40</v>
      </c>
      <c r="Q9">
        <v>49.166666666666664</v>
      </c>
      <c r="R9">
        <v>25.768333333333334</v>
      </c>
      <c r="U9" s="12"/>
      <c r="V9">
        <v>1</v>
      </c>
      <c r="W9">
        <v>1</v>
      </c>
      <c r="X9">
        <v>0.9</v>
      </c>
      <c r="Y9">
        <v>0.7</v>
      </c>
      <c r="Z9">
        <v>1</v>
      </c>
      <c r="AA9" s="10">
        <v>0.6</v>
      </c>
      <c r="AB9">
        <v>1</v>
      </c>
      <c r="AC9">
        <v>1</v>
      </c>
      <c r="AD9">
        <v>1</v>
      </c>
      <c r="AE9">
        <v>1</v>
      </c>
      <c r="AF9">
        <v>0.3</v>
      </c>
      <c r="AG9">
        <v>0.3</v>
      </c>
      <c r="AH9">
        <v>0.6</v>
      </c>
    </row>
    <row r="10" spans="1:34" x14ac:dyDescent="0.3">
      <c r="B10" t="s">
        <v>47</v>
      </c>
      <c r="C10" s="16">
        <v>46204</v>
      </c>
      <c r="D10" s="8"/>
      <c r="E10" s="8"/>
      <c r="F10">
        <v>9.92</v>
      </c>
      <c r="G10" t="s">
        <v>37</v>
      </c>
      <c r="H10">
        <v>0.5</v>
      </c>
      <c r="I10">
        <v>50</v>
      </c>
      <c r="J10">
        <v>28.75</v>
      </c>
      <c r="K10" t="s">
        <v>46</v>
      </c>
      <c r="L10">
        <v>31.7</v>
      </c>
      <c r="M10">
        <v>177.5</v>
      </c>
      <c r="N10">
        <v>95</v>
      </c>
      <c r="O10">
        <v>7.51</v>
      </c>
      <c r="P10" t="s">
        <v>40</v>
      </c>
      <c r="Q10">
        <v>41.666666666666664</v>
      </c>
      <c r="R10">
        <v>54.186666666666667</v>
      </c>
      <c r="U10" s="12"/>
      <c r="V10">
        <v>1</v>
      </c>
      <c r="W10" s="10">
        <v>1</v>
      </c>
      <c r="X10">
        <v>1</v>
      </c>
      <c r="Y10">
        <v>1</v>
      </c>
      <c r="Z10">
        <v>1</v>
      </c>
      <c r="AA10" s="10">
        <v>0.6</v>
      </c>
      <c r="AB10">
        <v>0.9</v>
      </c>
      <c r="AC10">
        <v>1</v>
      </c>
      <c r="AD10">
        <v>1</v>
      </c>
      <c r="AE10">
        <v>1</v>
      </c>
      <c r="AF10">
        <v>0.3</v>
      </c>
      <c r="AG10">
        <v>0.5</v>
      </c>
      <c r="AH10">
        <v>1</v>
      </c>
    </row>
    <row r="11" spans="1:34" x14ac:dyDescent="0.3">
      <c r="B11" t="s">
        <v>48</v>
      </c>
      <c r="C11" s="16">
        <v>46205</v>
      </c>
      <c r="D11">
        <v>18.649999999999999</v>
      </c>
      <c r="E11" t="s">
        <v>35</v>
      </c>
      <c r="F11">
        <v>7.36</v>
      </c>
      <c r="G11" t="s">
        <v>37</v>
      </c>
      <c r="H11">
        <v>0.8</v>
      </c>
      <c r="I11">
        <v>60</v>
      </c>
      <c r="J11">
        <v>34.545454545454547</v>
      </c>
      <c r="K11" t="s">
        <v>40</v>
      </c>
      <c r="L11">
        <v>26.7</v>
      </c>
      <c r="M11">
        <v>190</v>
      </c>
      <c r="N11">
        <v>100</v>
      </c>
      <c r="O11" s="7">
        <v>8.4</v>
      </c>
      <c r="P11" t="s">
        <v>40</v>
      </c>
      <c r="Q11">
        <v>50</v>
      </c>
      <c r="R11">
        <v>65.035833333333343</v>
      </c>
      <c r="U11" s="9">
        <v>0.9</v>
      </c>
      <c r="V11">
        <v>0.8</v>
      </c>
      <c r="W11">
        <v>1</v>
      </c>
      <c r="X11">
        <v>1</v>
      </c>
      <c r="Y11">
        <v>1</v>
      </c>
      <c r="Z11">
        <v>1</v>
      </c>
      <c r="AA11" s="10">
        <v>0.3</v>
      </c>
      <c r="AB11">
        <v>0.9</v>
      </c>
      <c r="AC11">
        <v>1</v>
      </c>
      <c r="AD11">
        <v>1</v>
      </c>
      <c r="AE11">
        <v>0.7</v>
      </c>
      <c r="AF11">
        <v>0.3</v>
      </c>
      <c r="AG11">
        <v>0.3</v>
      </c>
      <c r="AH11">
        <v>1</v>
      </c>
    </row>
    <row r="12" spans="1:34" x14ac:dyDescent="0.3">
      <c r="B12" t="s">
        <v>49</v>
      </c>
      <c r="C12" s="16">
        <v>46205</v>
      </c>
      <c r="D12">
        <v>18.350000000000001</v>
      </c>
      <c r="E12" t="s">
        <v>35</v>
      </c>
      <c r="F12">
        <v>8.19</v>
      </c>
      <c r="G12" t="s">
        <v>37</v>
      </c>
      <c r="H12">
        <v>1.2</v>
      </c>
      <c r="I12">
        <v>60</v>
      </c>
      <c r="J12">
        <v>39.166666666666664</v>
      </c>
      <c r="K12" t="s">
        <v>40</v>
      </c>
      <c r="L12">
        <v>23.3</v>
      </c>
      <c r="M12">
        <v>55</v>
      </c>
      <c r="N12">
        <v>40</v>
      </c>
      <c r="O12" s="7">
        <v>7.2</v>
      </c>
      <c r="P12" t="s">
        <v>46</v>
      </c>
      <c r="Q12">
        <v>53.333333333333336</v>
      </c>
      <c r="R12">
        <v>68.842499999999987</v>
      </c>
      <c r="U12" s="9">
        <v>0.9</v>
      </c>
      <c r="V12">
        <v>0.9</v>
      </c>
      <c r="W12">
        <v>1</v>
      </c>
      <c r="X12">
        <v>1</v>
      </c>
      <c r="Y12">
        <v>1</v>
      </c>
      <c r="Z12">
        <v>1</v>
      </c>
      <c r="AA12" s="10">
        <v>0.3</v>
      </c>
      <c r="AB12">
        <v>0.8</v>
      </c>
      <c r="AC12">
        <v>0.2</v>
      </c>
      <c r="AD12">
        <v>0.6</v>
      </c>
      <c r="AE12">
        <v>1</v>
      </c>
      <c r="AF12">
        <v>0.6</v>
      </c>
      <c r="AG12">
        <v>0.2</v>
      </c>
      <c r="AH12">
        <v>1</v>
      </c>
    </row>
    <row r="13" spans="1:34" x14ac:dyDescent="0.3">
      <c r="B13" t="s">
        <v>50</v>
      </c>
      <c r="C13" s="16">
        <v>46205</v>
      </c>
      <c r="D13">
        <v>20.84</v>
      </c>
      <c r="E13" t="s">
        <v>35</v>
      </c>
      <c r="F13">
        <v>7.86</v>
      </c>
      <c r="G13" t="s">
        <v>37</v>
      </c>
      <c r="H13">
        <v>0.1</v>
      </c>
      <c r="I13">
        <v>20</v>
      </c>
      <c r="J13">
        <v>28.333333333333332</v>
      </c>
      <c r="K13" t="s">
        <v>40</v>
      </c>
      <c r="L13">
        <v>43.5</v>
      </c>
      <c r="M13">
        <v>125</v>
      </c>
      <c r="N13">
        <v>85</v>
      </c>
      <c r="O13">
        <v>6.98</v>
      </c>
      <c r="P13" t="s">
        <v>40</v>
      </c>
      <c r="Q13">
        <v>55</v>
      </c>
      <c r="R13">
        <v>79.204166666666666</v>
      </c>
      <c r="U13" s="9">
        <v>0.6</v>
      </c>
      <c r="V13">
        <v>0.9</v>
      </c>
      <c r="W13">
        <v>1</v>
      </c>
      <c r="X13">
        <v>1</v>
      </c>
      <c r="Y13">
        <v>1</v>
      </c>
      <c r="Z13">
        <v>1</v>
      </c>
      <c r="AA13" s="10">
        <v>0.3</v>
      </c>
      <c r="AB13">
        <v>1</v>
      </c>
      <c r="AC13">
        <v>1</v>
      </c>
      <c r="AD13">
        <v>1</v>
      </c>
      <c r="AE13">
        <v>1</v>
      </c>
      <c r="AF13">
        <v>0.3</v>
      </c>
      <c r="AG13">
        <v>0.2</v>
      </c>
      <c r="AH13">
        <v>1</v>
      </c>
    </row>
    <row r="14" spans="1:34" x14ac:dyDescent="0.3">
      <c r="B14" t="s">
        <v>51</v>
      </c>
      <c r="C14" s="16">
        <v>46217</v>
      </c>
      <c r="D14">
        <v>21.23</v>
      </c>
      <c r="E14" t="s">
        <v>35</v>
      </c>
      <c r="F14">
        <v>9.76</v>
      </c>
      <c r="G14" t="s">
        <v>35</v>
      </c>
      <c r="H14">
        <v>0.8</v>
      </c>
      <c r="I14">
        <v>10</v>
      </c>
      <c r="J14">
        <v>33.333329999999997</v>
      </c>
      <c r="K14" t="s">
        <v>40</v>
      </c>
      <c r="L14">
        <v>66.67</v>
      </c>
      <c r="M14">
        <v>150</v>
      </c>
      <c r="N14">
        <v>90</v>
      </c>
      <c r="O14">
        <v>7.97</v>
      </c>
      <c r="P14" t="s">
        <v>40</v>
      </c>
      <c r="Q14">
        <v>58.33</v>
      </c>
      <c r="R14">
        <v>13.76</v>
      </c>
      <c r="U14" s="9">
        <v>0.6</v>
      </c>
      <c r="V14">
        <v>1</v>
      </c>
      <c r="W14">
        <v>1</v>
      </c>
      <c r="X14">
        <v>0.9</v>
      </c>
      <c r="Y14">
        <v>0.7</v>
      </c>
      <c r="Z14">
        <v>1</v>
      </c>
      <c r="AA14" s="10">
        <v>0.3</v>
      </c>
      <c r="AB14">
        <v>1</v>
      </c>
      <c r="AC14">
        <v>1</v>
      </c>
      <c r="AD14">
        <v>1</v>
      </c>
      <c r="AE14">
        <v>1</v>
      </c>
      <c r="AF14">
        <v>0.3</v>
      </c>
      <c r="AG14">
        <v>0.2</v>
      </c>
      <c r="AH14">
        <v>0.5</v>
      </c>
    </row>
    <row r="15" spans="1:34" x14ac:dyDescent="0.3">
      <c r="B15" t="s">
        <v>52</v>
      </c>
      <c r="C15" s="16">
        <v>46217</v>
      </c>
      <c r="D15">
        <v>22.55</v>
      </c>
      <c r="E15" t="s">
        <v>35</v>
      </c>
      <c r="F15">
        <v>9.3800000000000008</v>
      </c>
      <c r="G15" t="s">
        <v>35</v>
      </c>
      <c r="H15">
        <v>1.3</v>
      </c>
      <c r="I15">
        <v>30</v>
      </c>
      <c r="J15">
        <v>24.16667</v>
      </c>
      <c r="K15" t="s">
        <v>40</v>
      </c>
      <c r="L15">
        <v>33.33</v>
      </c>
      <c r="M15">
        <v>160</v>
      </c>
      <c r="N15">
        <v>100</v>
      </c>
      <c r="O15">
        <v>7.39</v>
      </c>
      <c r="P15" t="s">
        <v>38</v>
      </c>
      <c r="Q15">
        <v>65</v>
      </c>
      <c r="R15">
        <v>49.425829999999998</v>
      </c>
      <c r="U15" s="9">
        <v>0.3</v>
      </c>
      <c r="V15">
        <v>1</v>
      </c>
      <c r="W15">
        <v>1</v>
      </c>
      <c r="X15">
        <v>1</v>
      </c>
      <c r="Y15">
        <v>1</v>
      </c>
      <c r="Z15">
        <v>1</v>
      </c>
      <c r="AA15" s="10">
        <v>0.3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0.2</v>
      </c>
      <c r="AH15">
        <v>1</v>
      </c>
    </row>
    <row r="16" spans="1:34" x14ac:dyDescent="0.3">
      <c r="B16" t="s">
        <v>53</v>
      </c>
      <c r="C16" s="16">
        <v>46218</v>
      </c>
      <c r="D16">
        <v>20.28</v>
      </c>
      <c r="E16" t="s">
        <v>35</v>
      </c>
      <c r="F16">
        <v>8.2100000000000009</v>
      </c>
      <c r="G16" t="s">
        <v>35</v>
      </c>
      <c r="H16">
        <v>0.5</v>
      </c>
      <c r="I16">
        <v>20</v>
      </c>
      <c r="J16">
        <v>35.833333333333336</v>
      </c>
      <c r="K16" t="s">
        <v>40</v>
      </c>
      <c r="L16">
        <v>10</v>
      </c>
      <c r="M16">
        <v>175</v>
      </c>
      <c r="N16">
        <v>100</v>
      </c>
      <c r="O16">
        <v>8.07</v>
      </c>
      <c r="P16" t="s">
        <v>40</v>
      </c>
      <c r="Q16">
        <v>53.333333333333336</v>
      </c>
      <c r="R16">
        <v>41.967500000000001</v>
      </c>
      <c r="U16" s="9">
        <v>0.6</v>
      </c>
      <c r="V16">
        <v>0.9</v>
      </c>
      <c r="W16">
        <v>1</v>
      </c>
      <c r="X16">
        <v>1</v>
      </c>
      <c r="Y16">
        <v>1</v>
      </c>
      <c r="Z16">
        <v>1</v>
      </c>
      <c r="AA16" s="10">
        <v>0.3</v>
      </c>
      <c r="AB16">
        <v>0.6</v>
      </c>
      <c r="AC16">
        <v>0.8</v>
      </c>
      <c r="AD16">
        <v>1</v>
      </c>
      <c r="AE16">
        <v>1</v>
      </c>
      <c r="AF16">
        <v>0.3</v>
      </c>
      <c r="AG16">
        <v>0.2</v>
      </c>
      <c r="AH16">
        <v>0.9</v>
      </c>
    </row>
    <row r="17" spans="2:34" x14ac:dyDescent="0.3">
      <c r="B17" t="s">
        <v>54</v>
      </c>
      <c r="C17" s="16">
        <v>46218</v>
      </c>
      <c r="D17">
        <v>14.108000000000001</v>
      </c>
      <c r="E17" t="s">
        <v>37</v>
      </c>
      <c r="F17">
        <v>8.5</v>
      </c>
      <c r="G17" t="s">
        <v>35</v>
      </c>
      <c r="H17">
        <v>0.4</v>
      </c>
      <c r="I17">
        <v>70</v>
      </c>
      <c r="J17">
        <v>40.833333333333336</v>
      </c>
      <c r="K17" t="s">
        <v>38</v>
      </c>
      <c r="L17">
        <v>44.117647058823529</v>
      </c>
      <c r="M17">
        <v>185</v>
      </c>
      <c r="N17">
        <v>100</v>
      </c>
      <c r="O17">
        <v>7.43</v>
      </c>
      <c r="P17" t="s">
        <v>40</v>
      </c>
      <c r="Q17">
        <v>20</v>
      </c>
      <c r="R17">
        <v>62.735833333333339</v>
      </c>
      <c r="U17" s="9">
        <v>1</v>
      </c>
      <c r="V17">
        <v>1</v>
      </c>
      <c r="W17">
        <v>0.9</v>
      </c>
      <c r="X17">
        <v>1</v>
      </c>
      <c r="Y17">
        <v>1</v>
      </c>
      <c r="Z17">
        <v>1</v>
      </c>
      <c r="AA17" s="10">
        <v>1</v>
      </c>
      <c r="AB17">
        <v>1</v>
      </c>
      <c r="AC17">
        <v>1</v>
      </c>
      <c r="AD17">
        <v>1</v>
      </c>
      <c r="AE17">
        <v>1</v>
      </c>
      <c r="AF17">
        <v>0.3</v>
      </c>
      <c r="AG17">
        <v>0.9</v>
      </c>
      <c r="AH17">
        <v>1</v>
      </c>
    </row>
    <row r="18" spans="2:34" x14ac:dyDescent="0.3">
      <c r="B18" t="s">
        <v>55</v>
      </c>
      <c r="C18" s="16">
        <v>46218</v>
      </c>
      <c r="D18">
        <v>20.190999999999999</v>
      </c>
      <c r="E18" t="s">
        <v>35</v>
      </c>
      <c r="F18">
        <v>8.81</v>
      </c>
      <c r="G18" t="s">
        <v>35</v>
      </c>
      <c r="H18">
        <v>1.4</v>
      </c>
      <c r="I18">
        <v>10</v>
      </c>
      <c r="J18">
        <v>39.166666666666664</v>
      </c>
      <c r="K18" t="s">
        <v>46</v>
      </c>
      <c r="L18">
        <v>55.371900826446279</v>
      </c>
      <c r="M18">
        <v>85</v>
      </c>
      <c r="N18">
        <v>60</v>
      </c>
      <c r="O18">
        <v>7.9</v>
      </c>
      <c r="P18" t="s">
        <v>38</v>
      </c>
      <c r="Q18">
        <v>35</v>
      </c>
      <c r="R18">
        <v>33.587500000000006</v>
      </c>
      <c r="U18" s="9">
        <v>0.5</v>
      </c>
      <c r="V18">
        <v>1</v>
      </c>
      <c r="W18">
        <v>1</v>
      </c>
      <c r="X18">
        <v>0.9</v>
      </c>
      <c r="Y18">
        <v>0.7</v>
      </c>
      <c r="Z18">
        <v>1</v>
      </c>
      <c r="AA18" s="10">
        <v>0.6</v>
      </c>
      <c r="AB18">
        <v>1</v>
      </c>
      <c r="AC18">
        <v>0.7</v>
      </c>
      <c r="AD18">
        <v>0.9</v>
      </c>
      <c r="AE18">
        <v>1</v>
      </c>
      <c r="AF18">
        <v>1</v>
      </c>
      <c r="AG18">
        <v>0.6</v>
      </c>
      <c r="AH18">
        <v>0.8</v>
      </c>
    </row>
    <row r="19" spans="2:34" x14ac:dyDescent="0.3">
      <c r="B19" t="s">
        <v>56</v>
      </c>
      <c r="C19" s="16">
        <v>46218</v>
      </c>
      <c r="D19">
        <v>20.597000000000001</v>
      </c>
      <c r="E19" t="s">
        <v>35</v>
      </c>
      <c r="F19">
        <v>8.5299999999999994</v>
      </c>
      <c r="G19" t="s">
        <v>35</v>
      </c>
      <c r="H19">
        <v>1.5</v>
      </c>
      <c r="I19">
        <v>10</v>
      </c>
      <c r="J19">
        <v>52.5</v>
      </c>
      <c r="K19" t="s">
        <v>38</v>
      </c>
      <c r="L19">
        <v>83.15789473684211</v>
      </c>
      <c r="M19">
        <v>120</v>
      </c>
      <c r="N19">
        <v>70</v>
      </c>
      <c r="O19">
        <v>8.01</v>
      </c>
      <c r="P19" t="s">
        <v>46</v>
      </c>
      <c r="Q19">
        <v>30</v>
      </c>
      <c r="R19">
        <v>21.282499999999999</v>
      </c>
      <c r="U19" s="9">
        <v>0.6</v>
      </c>
      <c r="V19">
        <v>1</v>
      </c>
      <c r="W19">
        <v>1</v>
      </c>
      <c r="X19">
        <v>0.9</v>
      </c>
      <c r="Y19">
        <v>0.7</v>
      </c>
      <c r="Z19">
        <v>1</v>
      </c>
      <c r="AA19" s="10">
        <v>1</v>
      </c>
      <c r="AB19">
        <v>0.8</v>
      </c>
      <c r="AC19">
        <v>0.9</v>
      </c>
      <c r="AD19">
        <v>1</v>
      </c>
      <c r="AE19">
        <v>1</v>
      </c>
      <c r="AF19">
        <v>0.6</v>
      </c>
      <c r="AG19">
        <v>0.7</v>
      </c>
      <c r="AH19">
        <v>0.6</v>
      </c>
    </row>
    <row r="20" spans="2:34" x14ac:dyDescent="0.3">
      <c r="B20" t="s">
        <v>57</v>
      </c>
      <c r="C20" s="16">
        <v>46218</v>
      </c>
      <c r="D20">
        <v>19.219000000000001</v>
      </c>
      <c r="E20" t="s">
        <v>35</v>
      </c>
      <c r="F20">
        <v>9.17</v>
      </c>
      <c r="G20" t="s">
        <v>37</v>
      </c>
      <c r="H20">
        <v>0.5</v>
      </c>
      <c r="I20">
        <v>80</v>
      </c>
      <c r="J20">
        <v>48.333333333333336</v>
      </c>
      <c r="K20" t="s">
        <v>38</v>
      </c>
      <c r="L20">
        <v>32</v>
      </c>
      <c r="M20">
        <v>155</v>
      </c>
      <c r="N20">
        <v>90</v>
      </c>
      <c r="O20">
        <v>8.26</v>
      </c>
      <c r="P20" t="s">
        <v>46</v>
      </c>
      <c r="Q20">
        <v>45</v>
      </c>
      <c r="R20">
        <v>49.232499999999995</v>
      </c>
      <c r="U20" s="9">
        <v>0.8</v>
      </c>
      <c r="V20">
        <v>1</v>
      </c>
      <c r="W20">
        <v>1</v>
      </c>
      <c r="X20">
        <v>1</v>
      </c>
      <c r="Y20">
        <v>1</v>
      </c>
      <c r="Z20">
        <v>1</v>
      </c>
      <c r="AA20" s="10">
        <v>1</v>
      </c>
      <c r="AB20">
        <v>1</v>
      </c>
      <c r="AC20">
        <v>1</v>
      </c>
      <c r="AD20">
        <v>1</v>
      </c>
      <c r="AE20">
        <v>0.8</v>
      </c>
      <c r="AF20">
        <v>0.6</v>
      </c>
      <c r="AG20">
        <v>0.4</v>
      </c>
      <c r="AH20">
        <v>1</v>
      </c>
    </row>
    <row r="21" spans="2:34" x14ac:dyDescent="0.3">
      <c r="B21" t="s">
        <v>58</v>
      </c>
      <c r="C21" s="16">
        <v>46220</v>
      </c>
      <c r="D21">
        <v>20.792999999999999</v>
      </c>
      <c r="E21" t="s">
        <v>35</v>
      </c>
      <c r="F21">
        <v>7.74</v>
      </c>
      <c r="G21" t="s">
        <v>37</v>
      </c>
      <c r="H21">
        <v>0.4</v>
      </c>
      <c r="I21">
        <v>50</v>
      </c>
      <c r="J21">
        <v>14.166666666666666</v>
      </c>
      <c r="K21" t="s">
        <v>40</v>
      </c>
      <c r="L21">
        <v>33.962264150943398</v>
      </c>
      <c r="M21">
        <v>115</v>
      </c>
      <c r="N21">
        <v>80</v>
      </c>
      <c r="O21">
        <v>7.47</v>
      </c>
      <c r="P21" t="s">
        <v>40</v>
      </c>
      <c r="Q21">
        <v>81.666666666666671</v>
      </c>
      <c r="R21">
        <v>35.830833333333338</v>
      </c>
      <c r="U21" s="9">
        <v>0.6</v>
      </c>
      <c r="V21">
        <v>0.9</v>
      </c>
      <c r="W21">
        <v>1</v>
      </c>
      <c r="X21">
        <v>1</v>
      </c>
      <c r="Y21">
        <v>1</v>
      </c>
      <c r="Z21">
        <v>1</v>
      </c>
      <c r="AA21" s="10">
        <v>0.3</v>
      </c>
      <c r="AB21">
        <v>1</v>
      </c>
      <c r="AC21">
        <v>0.9</v>
      </c>
      <c r="AD21">
        <v>1</v>
      </c>
      <c r="AE21">
        <v>1</v>
      </c>
      <c r="AF21">
        <v>0.3</v>
      </c>
      <c r="AG21" s="8"/>
      <c r="AH21">
        <v>0.8</v>
      </c>
    </row>
    <row r="22" spans="2:34" x14ac:dyDescent="0.3">
      <c r="B22" t="s">
        <v>59</v>
      </c>
      <c r="C22" s="16">
        <v>46220</v>
      </c>
      <c r="D22">
        <v>12.625</v>
      </c>
      <c r="E22" t="s">
        <v>37</v>
      </c>
      <c r="F22">
        <v>6</v>
      </c>
      <c r="G22" t="s">
        <v>37</v>
      </c>
      <c r="H22">
        <v>0.3</v>
      </c>
      <c r="I22">
        <v>90</v>
      </c>
      <c r="J22">
        <v>41.666666666666664</v>
      </c>
      <c r="K22" t="s">
        <v>38</v>
      </c>
      <c r="L22">
        <v>41.463414634146339</v>
      </c>
      <c r="M22">
        <v>175</v>
      </c>
      <c r="N22">
        <v>100</v>
      </c>
      <c r="O22">
        <v>6.81</v>
      </c>
      <c r="P22" t="s">
        <v>46</v>
      </c>
      <c r="Q22">
        <v>46.666666666666664</v>
      </c>
      <c r="R22">
        <v>54.798333333333346</v>
      </c>
      <c r="U22" s="9">
        <v>1</v>
      </c>
      <c r="V22">
        <v>0.9</v>
      </c>
      <c r="W22">
        <v>1</v>
      </c>
      <c r="X22">
        <v>1</v>
      </c>
      <c r="Y22">
        <v>1</v>
      </c>
      <c r="Z22">
        <v>1</v>
      </c>
      <c r="AA22" s="10">
        <v>1</v>
      </c>
      <c r="AB22">
        <v>1</v>
      </c>
      <c r="AC22">
        <v>1</v>
      </c>
      <c r="AD22">
        <v>1</v>
      </c>
      <c r="AE22">
        <v>1</v>
      </c>
      <c r="AF22">
        <v>0.6</v>
      </c>
      <c r="AG22">
        <v>0.4</v>
      </c>
      <c r="AH22">
        <v>1</v>
      </c>
    </row>
    <row r="23" spans="2:34" x14ac:dyDescent="0.3">
      <c r="B23" t="s">
        <v>60</v>
      </c>
      <c r="C23" s="16">
        <v>46224</v>
      </c>
      <c r="D23">
        <v>19.37</v>
      </c>
      <c r="E23" t="s">
        <v>35</v>
      </c>
      <c r="F23">
        <v>9.07</v>
      </c>
      <c r="G23" t="s">
        <v>37</v>
      </c>
      <c r="H23">
        <v>0.6</v>
      </c>
      <c r="I23">
        <v>40</v>
      </c>
      <c r="J23">
        <v>52.5</v>
      </c>
      <c r="K23" t="s">
        <v>38</v>
      </c>
      <c r="L23">
        <v>24.299065420560748</v>
      </c>
      <c r="M23">
        <v>115</v>
      </c>
      <c r="N23">
        <v>80</v>
      </c>
      <c r="O23">
        <v>7.97</v>
      </c>
      <c r="P23" t="s">
        <v>40</v>
      </c>
      <c r="Q23">
        <v>35</v>
      </c>
      <c r="R23">
        <v>59.477499999999999</v>
      </c>
      <c r="U23">
        <v>0.8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0.9</v>
      </c>
      <c r="AC23">
        <v>0.9</v>
      </c>
      <c r="AD23">
        <v>1</v>
      </c>
      <c r="AE23">
        <v>1</v>
      </c>
      <c r="AF23">
        <v>0.3</v>
      </c>
      <c r="AG23">
        <v>0.6</v>
      </c>
      <c r="AH23">
        <v>1</v>
      </c>
    </row>
    <row r="24" spans="2:34" x14ac:dyDescent="0.3">
      <c r="B24" t="s">
        <v>61</v>
      </c>
      <c r="C24" s="16">
        <v>46224</v>
      </c>
      <c r="D24">
        <v>17.55</v>
      </c>
      <c r="E24" t="s">
        <v>35</v>
      </c>
      <c r="F24">
        <v>8.91</v>
      </c>
      <c r="G24" t="s">
        <v>35</v>
      </c>
      <c r="H24">
        <v>1.8</v>
      </c>
      <c r="I24">
        <v>30</v>
      </c>
      <c r="J24">
        <v>46.666666666666664</v>
      </c>
      <c r="K24" t="s">
        <v>38</v>
      </c>
      <c r="L24">
        <v>37.804878048780488</v>
      </c>
      <c r="M24">
        <v>110</v>
      </c>
      <c r="N24">
        <v>80</v>
      </c>
      <c r="O24">
        <v>7.5</v>
      </c>
      <c r="P24" t="s">
        <v>46</v>
      </c>
      <c r="Q24">
        <v>40</v>
      </c>
      <c r="R24">
        <v>41.534166666666664</v>
      </c>
      <c r="U24">
        <v>0.9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0.8</v>
      </c>
      <c r="AD24">
        <v>1</v>
      </c>
      <c r="AE24">
        <v>1</v>
      </c>
      <c r="AF24">
        <v>0.6</v>
      </c>
      <c r="AG24">
        <v>0.5</v>
      </c>
      <c r="AH24">
        <v>0.8</v>
      </c>
    </row>
    <row r="25" spans="2:34" x14ac:dyDescent="0.3">
      <c r="B25" t="s">
        <v>62</v>
      </c>
      <c r="C25" s="16">
        <v>46203</v>
      </c>
      <c r="D25" t="s">
        <v>63</v>
      </c>
      <c r="E25" t="s">
        <v>63</v>
      </c>
      <c r="F25" t="s">
        <v>63</v>
      </c>
      <c r="G25" t="s">
        <v>63</v>
      </c>
      <c r="H25" t="s">
        <v>63</v>
      </c>
      <c r="I25" t="s">
        <v>63</v>
      </c>
      <c r="J25" t="s">
        <v>63</v>
      </c>
      <c r="K25" t="s">
        <v>63</v>
      </c>
      <c r="L25" t="s">
        <v>63</v>
      </c>
      <c r="M25" t="s">
        <v>63</v>
      </c>
      <c r="N25" t="s">
        <v>63</v>
      </c>
      <c r="O25" t="s">
        <v>63</v>
      </c>
      <c r="P25" t="s">
        <v>63</v>
      </c>
      <c r="Q25" t="s">
        <v>63</v>
      </c>
      <c r="R25" t="s">
        <v>63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 spans="2:34" x14ac:dyDescent="0.3">
      <c r="B26" t="s">
        <v>64</v>
      </c>
      <c r="C26" s="16">
        <v>46203</v>
      </c>
      <c r="D26" t="s">
        <v>63</v>
      </c>
      <c r="E26" t="s">
        <v>63</v>
      </c>
      <c r="F26" t="s">
        <v>63</v>
      </c>
      <c r="G26" t="s">
        <v>63</v>
      </c>
      <c r="H26" t="s">
        <v>63</v>
      </c>
      <c r="I26" t="s">
        <v>63</v>
      </c>
      <c r="J26" t="s">
        <v>63</v>
      </c>
      <c r="K26" t="s">
        <v>63</v>
      </c>
      <c r="L26" t="s">
        <v>63</v>
      </c>
      <c r="M26" t="s">
        <v>63</v>
      </c>
      <c r="N26" t="s">
        <v>63</v>
      </c>
      <c r="O26" t="s">
        <v>63</v>
      </c>
      <c r="P26" t="s">
        <v>63</v>
      </c>
      <c r="Q26" t="s">
        <v>63</v>
      </c>
      <c r="R26" t="s">
        <v>63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</row>
    <row r="27" spans="2:34" x14ac:dyDescent="0.3">
      <c r="B27" t="s">
        <v>65</v>
      </c>
      <c r="C27" s="16">
        <v>46204</v>
      </c>
      <c r="D27" t="s">
        <v>63</v>
      </c>
      <c r="E27" t="s">
        <v>63</v>
      </c>
      <c r="F27" t="s">
        <v>63</v>
      </c>
      <c r="G27" t="s">
        <v>63</v>
      </c>
      <c r="H27" t="s">
        <v>63</v>
      </c>
      <c r="I27" t="s">
        <v>63</v>
      </c>
      <c r="J27" t="s">
        <v>63</v>
      </c>
      <c r="K27" t="s">
        <v>63</v>
      </c>
      <c r="L27" t="s">
        <v>63</v>
      </c>
      <c r="M27" t="s">
        <v>63</v>
      </c>
      <c r="N27" t="s">
        <v>63</v>
      </c>
      <c r="O27" t="s">
        <v>63</v>
      </c>
      <c r="P27" t="s">
        <v>63</v>
      </c>
      <c r="Q27" t="s">
        <v>63</v>
      </c>
      <c r="R27" t="s">
        <v>63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  <row r="28" spans="2:34" x14ac:dyDescent="0.3">
      <c r="B28" t="s">
        <v>66</v>
      </c>
      <c r="C28" s="16">
        <v>46217</v>
      </c>
      <c r="D28" t="s">
        <v>63</v>
      </c>
      <c r="E28" t="s">
        <v>63</v>
      </c>
      <c r="F28" t="s">
        <v>63</v>
      </c>
      <c r="G28" t="s">
        <v>63</v>
      </c>
      <c r="H28" t="s">
        <v>63</v>
      </c>
      <c r="I28" t="s">
        <v>63</v>
      </c>
      <c r="J28" t="s">
        <v>63</v>
      </c>
      <c r="K28" t="s">
        <v>63</v>
      </c>
      <c r="L28" t="s">
        <v>63</v>
      </c>
      <c r="M28" t="s">
        <v>63</v>
      </c>
      <c r="N28" t="s">
        <v>63</v>
      </c>
      <c r="O28" t="s">
        <v>63</v>
      </c>
      <c r="P28" t="s">
        <v>63</v>
      </c>
      <c r="Q28" t="s">
        <v>63</v>
      </c>
      <c r="R28" t="s">
        <v>63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 spans="2:34" x14ac:dyDescent="0.3">
      <c r="B29" t="s">
        <v>67</v>
      </c>
      <c r="C29" s="16">
        <v>46217</v>
      </c>
      <c r="D29" t="s">
        <v>63</v>
      </c>
      <c r="E29" t="s">
        <v>63</v>
      </c>
      <c r="F29" t="s">
        <v>63</v>
      </c>
      <c r="G29" t="s">
        <v>63</v>
      </c>
      <c r="H29" t="s">
        <v>63</v>
      </c>
      <c r="I29" t="s">
        <v>63</v>
      </c>
      <c r="J29" t="s">
        <v>63</v>
      </c>
      <c r="K29" t="s">
        <v>63</v>
      </c>
      <c r="L29" t="s">
        <v>63</v>
      </c>
      <c r="M29" t="s">
        <v>63</v>
      </c>
      <c r="N29" t="s">
        <v>63</v>
      </c>
      <c r="O29" t="s">
        <v>63</v>
      </c>
      <c r="P29" t="s">
        <v>63</v>
      </c>
      <c r="Q29" t="s">
        <v>63</v>
      </c>
      <c r="R29" t="s">
        <v>63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 spans="2:34" x14ac:dyDescent="0.3">
      <c r="B30" t="s">
        <v>68</v>
      </c>
      <c r="C30" s="16">
        <v>46205</v>
      </c>
      <c r="D30" t="s">
        <v>63</v>
      </c>
      <c r="E30" t="s">
        <v>63</v>
      </c>
      <c r="F30" t="s">
        <v>63</v>
      </c>
      <c r="G30" t="s">
        <v>63</v>
      </c>
      <c r="H30" t="s">
        <v>63</v>
      </c>
      <c r="I30" t="s">
        <v>63</v>
      </c>
      <c r="J30" t="s">
        <v>63</v>
      </c>
      <c r="K30" t="s">
        <v>63</v>
      </c>
      <c r="L30" t="s">
        <v>63</v>
      </c>
      <c r="M30" t="s">
        <v>63</v>
      </c>
      <c r="N30" t="s">
        <v>63</v>
      </c>
      <c r="O30" t="s">
        <v>63</v>
      </c>
      <c r="P30" t="s">
        <v>63</v>
      </c>
      <c r="Q30" t="s">
        <v>63</v>
      </c>
      <c r="R30" t="s">
        <v>63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 spans="2:34" x14ac:dyDescent="0.3">
      <c r="B31" t="s">
        <v>69</v>
      </c>
      <c r="C31" s="16">
        <v>46228</v>
      </c>
      <c r="D31" t="s">
        <v>63</v>
      </c>
      <c r="E31" t="s">
        <v>63</v>
      </c>
      <c r="F31" t="s">
        <v>63</v>
      </c>
      <c r="G31" t="s">
        <v>63</v>
      </c>
      <c r="H31" t="s">
        <v>63</v>
      </c>
      <c r="I31" t="s">
        <v>63</v>
      </c>
      <c r="J31" t="s">
        <v>63</v>
      </c>
      <c r="K31" t="s">
        <v>63</v>
      </c>
      <c r="L31" t="s">
        <v>63</v>
      </c>
      <c r="M31" t="s">
        <v>63</v>
      </c>
      <c r="N31" t="s">
        <v>63</v>
      </c>
      <c r="O31" t="s">
        <v>63</v>
      </c>
      <c r="P31" t="s">
        <v>63</v>
      </c>
      <c r="Q31" t="s">
        <v>63</v>
      </c>
      <c r="R31" t="s">
        <v>63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</row>
    <row r="32" spans="2:34" x14ac:dyDescent="0.3">
      <c r="B32" t="s">
        <v>70</v>
      </c>
      <c r="C32" s="16">
        <v>46228</v>
      </c>
      <c r="D32">
        <v>19.53</v>
      </c>
      <c r="E32" t="s">
        <v>35</v>
      </c>
      <c r="F32">
        <v>5.47</v>
      </c>
      <c r="G32" t="s">
        <v>35</v>
      </c>
      <c r="H32">
        <v>1.5</v>
      </c>
      <c r="I32">
        <v>60</v>
      </c>
      <c r="J32">
        <v>56.666666666666664</v>
      </c>
      <c r="K32" t="s">
        <v>38</v>
      </c>
      <c r="L32">
        <v>20.212765957446809</v>
      </c>
      <c r="M32">
        <v>100</v>
      </c>
      <c r="N32">
        <v>80</v>
      </c>
      <c r="O32">
        <v>7.56</v>
      </c>
      <c r="P32" t="s">
        <v>63</v>
      </c>
      <c r="Q32">
        <v>28.333333333333332</v>
      </c>
      <c r="R32">
        <v>59.556666666666672</v>
      </c>
      <c r="U32">
        <v>0.8</v>
      </c>
      <c r="V32">
        <v>0.1</v>
      </c>
      <c r="W32">
        <v>1</v>
      </c>
      <c r="X32">
        <v>1</v>
      </c>
      <c r="Y32">
        <v>1</v>
      </c>
      <c r="Z32">
        <v>1</v>
      </c>
      <c r="AA32">
        <v>1</v>
      </c>
      <c r="AB32">
        <v>0.8</v>
      </c>
      <c r="AC32">
        <v>0.8</v>
      </c>
      <c r="AD32">
        <v>1</v>
      </c>
      <c r="AE32">
        <v>1</v>
      </c>
      <c r="AF32" s="8"/>
      <c r="AG32">
        <v>0.7</v>
      </c>
      <c r="AH32">
        <v>1</v>
      </c>
    </row>
    <row r="33" spans="2:34" x14ac:dyDescent="0.3">
      <c r="B33" t="s">
        <v>71</v>
      </c>
      <c r="C33" s="16">
        <v>46228</v>
      </c>
      <c r="D33">
        <v>22.54</v>
      </c>
      <c r="E33" t="s">
        <v>35</v>
      </c>
      <c r="F33">
        <v>5.16</v>
      </c>
      <c r="G33" t="s">
        <v>35</v>
      </c>
      <c r="H33">
        <v>1.5</v>
      </c>
      <c r="I33">
        <v>20</v>
      </c>
      <c r="J33">
        <v>31.666666666666668</v>
      </c>
      <c r="K33" t="s">
        <v>38</v>
      </c>
      <c r="L33">
        <v>50</v>
      </c>
      <c r="M33">
        <v>135</v>
      </c>
      <c r="N33">
        <v>90</v>
      </c>
      <c r="O33">
        <v>7.87</v>
      </c>
      <c r="P33" t="s">
        <v>38</v>
      </c>
      <c r="Q33">
        <v>45</v>
      </c>
      <c r="R33">
        <v>24.454999999999998</v>
      </c>
      <c r="U33">
        <v>0.3</v>
      </c>
      <c r="V33">
        <v>0.1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0.4</v>
      </c>
      <c r="AH33">
        <v>0.6</v>
      </c>
    </row>
    <row r="34" spans="2:34" x14ac:dyDescent="0.3">
      <c r="B34" t="s">
        <v>72</v>
      </c>
      <c r="C34" s="16">
        <v>46228</v>
      </c>
      <c r="D34">
        <v>19.5</v>
      </c>
      <c r="E34" t="s">
        <v>35</v>
      </c>
      <c r="F34">
        <v>5.4</v>
      </c>
      <c r="G34" t="s">
        <v>37</v>
      </c>
      <c r="H34">
        <v>1.4</v>
      </c>
      <c r="I34">
        <v>50</v>
      </c>
      <c r="J34">
        <v>9.1666666666666661</v>
      </c>
      <c r="K34" t="s">
        <v>63</v>
      </c>
      <c r="L34">
        <v>0</v>
      </c>
      <c r="M34">
        <v>160</v>
      </c>
      <c r="N34">
        <v>90</v>
      </c>
      <c r="O34">
        <v>7.46</v>
      </c>
      <c r="P34" t="s">
        <v>63</v>
      </c>
      <c r="Q34" t="s">
        <v>63</v>
      </c>
      <c r="R34">
        <v>29.570833333333336</v>
      </c>
      <c r="U34">
        <v>0.8</v>
      </c>
      <c r="V34">
        <v>0.1</v>
      </c>
      <c r="W34">
        <v>1</v>
      </c>
      <c r="X34">
        <v>1</v>
      </c>
      <c r="Y34">
        <v>1</v>
      </c>
      <c r="Z34">
        <v>1</v>
      </c>
      <c r="AA34" s="8"/>
      <c r="AB34">
        <v>0.3</v>
      </c>
      <c r="AC34">
        <v>1</v>
      </c>
      <c r="AD34">
        <v>1</v>
      </c>
      <c r="AE34">
        <v>1</v>
      </c>
      <c r="AF34" s="8"/>
      <c r="AG34" s="8"/>
      <c r="AH34">
        <v>0.7</v>
      </c>
    </row>
    <row r="35" spans="2:34" x14ac:dyDescent="0.3">
      <c r="B35" t="s">
        <v>73</v>
      </c>
      <c r="C35" s="16">
        <v>46228</v>
      </c>
      <c r="D35">
        <v>17.64</v>
      </c>
      <c r="E35" t="s">
        <v>35</v>
      </c>
      <c r="F35">
        <v>5.23</v>
      </c>
      <c r="G35" t="s">
        <v>37</v>
      </c>
      <c r="H35">
        <v>0.1</v>
      </c>
      <c r="I35">
        <v>30</v>
      </c>
      <c r="J35">
        <v>37.5</v>
      </c>
      <c r="K35" t="s">
        <v>46</v>
      </c>
      <c r="L35">
        <v>43.902439024390247</v>
      </c>
      <c r="M35">
        <v>155</v>
      </c>
      <c r="N35">
        <v>90</v>
      </c>
      <c r="O35">
        <v>6.92</v>
      </c>
      <c r="P35" t="s">
        <v>40</v>
      </c>
      <c r="Q35">
        <v>50</v>
      </c>
      <c r="R35">
        <v>52.709166666666675</v>
      </c>
      <c r="U35">
        <v>0.9</v>
      </c>
      <c r="V35">
        <v>0.1</v>
      </c>
      <c r="W35">
        <v>0.2</v>
      </c>
      <c r="X35">
        <v>1</v>
      </c>
      <c r="Y35">
        <v>1</v>
      </c>
      <c r="Z35">
        <v>1</v>
      </c>
      <c r="AA35">
        <v>0.6</v>
      </c>
      <c r="AB35">
        <v>1</v>
      </c>
      <c r="AC35">
        <v>1</v>
      </c>
      <c r="AD35">
        <v>1</v>
      </c>
      <c r="AE35">
        <v>1</v>
      </c>
      <c r="AF35">
        <v>0.3</v>
      </c>
      <c r="AG35">
        <v>0.3</v>
      </c>
      <c r="AH35">
        <v>1</v>
      </c>
    </row>
    <row r="36" spans="2:34" x14ac:dyDescent="0.3">
      <c r="B36" t="s">
        <v>74</v>
      </c>
      <c r="C36" s="16">
        <v>46228</v>
      </c>
      <c r="D36">
        <v>19.744</v>
      </c>
      <c r="E36" t="s">
        <v>35</v>
      </c>
      <c r="F36">
        <v>5.33</v>
      </c>
      <c r="G36" t="s">
        <v>35</v>
      </c>
      <c r="H36" t="s">
        <v>63</v>
      </c>
      <c r="I36">
        <v>70</v>
      </c>
      <c r="J36">
        <v>0</v>
      </c>
      <c r="K36" t="s">
        <v>63</v>
      </c>
      <c r="L36">
        <v>0</v>
      </c>
      <c r="M36">
        <v>150</v>
      </c>
      <c r="N36">
        <v>90</v>
      </c>
      <c r="O36">
        <v>7.44</v>
      </c>
      <c r="P36" t="s">
        <v>40</v>
      </c>
      <c r="Q36" t="s">
        <v>63</v>
      </c>
      <c r="R36">
        <v>10</v>
      </c>
      <c r="U36">
        <v>0.8</v>
      </c>
      <c r="V36">
        <v>0</v>
      </c>
      <c r="W36">
        <v>1</v>
      </c>
      <c r="X36">
        <v>1</v>
      </c>
      <c r="Y36">
        <v>1</v>
      </c>
      <c r="Z36">
        <v>0</v>
      </c>
      <c r="AA36" s="8"/>
      <c r="AB36">
        <v>0.3</v>
      </c>
      <c r="AC36">
        <v>1</v>
      </c>
      <c r="AD36">
        <v>1</v>
      </c>
      <c r="AE36">
        <v>1</v>
      </c>
      <c r="AF36">
        <v>0.3</v>
      </c>
      <c r="AG36" s="8"/>
      <c r="AH36">
        <v>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D615B-E139-40D9-964B-46B7FA66C11D}">
  <dimension ref="A1:S29"/>
  <sheetViews>
    <sheetView workbookViewId="0">
      <selection activeCell="A29" sqref="A29"/>
    </sheetView>
  </sheetViews>
  <sheetFormatPr defaultRowHeight="14.4" x14ac:dyDescent="0.3"/>
  <cols>
    <col min="1" max="1" width="20.109375" bestFit="1" customWidth="1"/>
    <col min="2" max="2" width="8.33203125" bestFit="1" customWidth="1"/>
    <col min="3" max="3" width="9.88671875" bestFit="1" customWidth="1"/>
    <col min="4" max="4" width="7.88671875" bestFit="1" customWidth="1"/>
    <col min="5" max="5" width="7.109375" bestFit="1" customWidth="1"/>
    <col min="6" max="6" width="21.5546875" bestFit="1" customWidth="1"/>
    <col min="7" max="7" width="28.6640625" bestFit="1" customWidth="1"/>
    <col min="8" max="8" width="23.33203125" bestFit="1" customWidth="1"/>
    <col min="9" max="9" width="24" bestFit="1" customWidth="1"/>
    <col min="10" max="10" width="23.5546875" bestFit="1" customWidth="1"/>
    <col min="11" max="12" width="17.44140625" bestFit="1" customWidth="1"/>
    <col min="13" max="13" width="20.33203125" bestFit="1" customWidth="1"/>
    <col min="14" max="14" width="20.44140625" bestFit="1" customWidth="1"/>
    <col min="15" max="15" width="13" bestFit="1" customWidth="1"/>
    <col min="16" max="16" width="15.6640625" bestFit="1" customWidth="1"/>
    <col min="17" max="17" width="16.44140625" bestFit="1" customWidth="1"/>
    <col min="18" max="18" width="16" bestFit="1" customWidth="1"/>
    <col min="19" max="19" width="15.109375" bestFit="1" customWidth="1"/>
  </cols>
  <sheetData>
    <row r="1" spans="1:19" x14ac:dyDescent="0.3">
      <c r="A1" s="2" t="s">
        <v>1</v>
      </c>
      <c r="B1" s="2" t="s">
        <v>75</v>
      </c>
      <c r="C1" s="2" t="s">
        <v>76</v>
      </c>
      <c r="D1" s="2" t="s">
        <v>77</v>
      </c>
      <c r="E1" s="2" t="s">
        <v>78</v>
      </c>
      <c r="F1" s="17" t="s">
        <v>12</v>
      </c>
      <c r="G1" s="17" t="s">
        <v>13</v>
      </c>
      <c r="H1" s="2" t="s">
        <v>79</v>
      </c>
      <c r="I1" s="2" t="s">
        <v>80</v>
      </c>
      <c r="J1" s="2" t="s">
        <v>81</v>
      </c>
      <c r="K1" s="3" t="s">
        <v>82</v>
      </c>
      <c r="L1" s="3" t="s">
        <v>83</v>
      </c>
      <c r="M1" s="3" t="s">
        <v>84</v>
      </c>
      <c r="N1" s="3" t="s">
        <v>85</v>
      </c>
      <c r="O1" s="18" t="s">
        <v>11</v>
      </c>
      <c r="P1" s="3" t="s">
        <v>86</v>
      </c>
      <c r="Q1" s="3" t="s">
        <v>87</v>
      </c>
      <c r="R1" s="3" t="s">
        <v>88</v>
      </c>
      <c r="S1" s="17" t="s">
        <v>15</v>
      </c>
    </row>
    <row r="2" spans="1:19" x14ac:dyDescent="0.3">
      <c r="A2" t="s">
        <v>34</v>
      </c>
      <c r="B2">
        <v>15</v>
      </c>
      <c r="C2">
        <v>15</v>
      </c>
      <c r="D2">
        <v>70</v>
      </c>
      <c r="E2">
        <v>0</v>
      </c>
      <c r="F2">
        <f>2*B2+1.5*C2+D2</f>
        <v>122.5</v>
      </c>
      <c r="G2">
        <f>SUM(B2:D2)</f>
        <v>100</v>
      </c>
      <c r="N2">
        <f>SUM(H2:M2)</f>
        <v>0</v>
      </c>
      <c r="O2" t="e">
        <f>(H2+I2+J2)*100/N2</f>
        <v>#DIV/0!</v>
      </c>
      <c r="P2" t="e">
        <f>H2*100/N2</f>
        <v>#DIV/0!</v>
      </c>
      <c r="Q2" t="e">
        <f>I2*100/N2</f>
        <v>#DIV/0!</v>
      </c>
      <c r="R2" t="e">
        <f>J2*100/N2</f>
        <v>#DIV/0!</v>
      </c>
    </row>
    <row r="3" spans="1:19" x14ac:dyDescent="0.3">
      <c r="A3" t="s">
        <v>36</v>
      </c>
      <c r="B3">
        <v>0</v>
      </c>
      <c r="C3">
        <v>50</v>
      </c>
      <c r="D3">
        <v>40</v>
      </c>
      <c r="E3">
        <v>10</v>
      </c>
      <c r="F3">
        <f>2*B3+1.5*C3+D3</f>
        <v>115</v>
      </c>
      <c r="G3">
        <f t="shared" ref="G3:G29" si="0">SUM(B3:D3)</f>
        <v>90</v>
      </c>
      <c r="H3">
        <v>11</v>
      </c>
      <c r="I3">
        <v>0</v>
      </c>
      <c r="J3">
        <v>5</v>
      </c>
      <c r="K3">
        <v>13</v>
      </c>
      <c r="L3">
        <v>5</v>
      </c>
      <c r="M3">
        <v>0</v>
      </c>
      <c r="N3">
        <f t="shared" ref="N3:N29" si="1">SUM(H3:M3)</f>
        <v>34</v>
      </c>
      <c r="O3">
        <f t="shared" ref="O3:O29" si="2">(H3+I3+J3)*100/N3</f>
        <v>47.058823529411768</v>
      </c>
      <c r="P3">
        <f>H3*100/N3</f>
        <v>32.352941176470587</v>
      </c>
      <c r="Q3">
        <f t="shared" ref="Q3:Q29" si="3">I3*100/N3</f>
        <v>0</v>
      </c>
      <c r="R3">
        <f>J3*100/N3</f>
        <v>14.705882352941176</v>
      </c>
      <c r="S3" t="s">
        <v>38</v>
      </c>
    </row>
    <row r="4" spans="1:19" x14ac:dyDescent="0.3">
      <c r="A4" t="s">
        <v>39</v>
      </c>
      <c r="B4">
        <v>30</v>
      </c>
      <c r="C4">
        <v>30</v>
      </c>
      <c r="D4">
        <v>30</v>
      </c>
      <c r="E4">
        <v>10</v>
      </c>
      <c r="F4">
        <f t="shared" ref="F4:F29" si="4">2*B4+1.5*C4+D4</f>
        <v>135</v>
      </c>
      <c r="G4">
        <f t="shared" si="0"/>
        <v>90</v>
      </c>
      <c r="H4">
        <v>0</v>
      </c>
      <c r="I4">
        <v>0</v>
      </c>
      <c r="J4">
        <v>40</v>
      </c>
      <c r="K4">
        <v>10</v>
      </c>
      <c r="L4">
        <v>68</v>
      </c>
      <c r="M4">
        <v>0</v>
      </c>
      <c r="N4">
        <f t="shared" si="1"/>
        <v>118</v>
      </c>
      <c r="O4">
        <f t="shared" si="2"/>
        <v>33.898305084745765</v>
      </c>
      <c r="P4">
        <f t="shared" ref="P4:P29" si="5">H4*100/N4</f>
        <v>0</v>
      </c>
      <c r="Q4">
        <f t="shared" si="3"/>
        <v>0</v>
      </c>
      <c r="R4">
        <f t="shared" ref="R4:R29" si="6">J4*100/N4</f>
        <v>33.898305084745765</v>
      </c>
      <c r="S4" t="s">
        <v>40</v>
      </c>
    </row>
    <row r="5" spans="1:19" x14ac:dyDescent="0.3">
      <c r="A5" t="s">
        <v>41</v>
      </c>
      <c r="B5">
        <v>20</v>
      </c>
      <c r="C5">
        <v>10</v>
      </c>
      <c r="D5">
        <v>60</v>
      </c>
      <c r="E5">
        <v>0</v>
      </c>
      <c r="F5">
        <f t="shared" si="4"/>
        <v>115</v>
      </c>
      <c r="G5">
        <f t="shared" si="0"/>
        <v>90</v>
      </c>
      <c r="H5">
        <v>0</v>
      </c>
      <c r="I5">
        <v>12</v>
      </c>
      <c r="J5">
        <v>9</v>
      </c>
      <c r="K5">
        <v>15</v>
      </c>
      <c r="L5">
        <v>7</v>
      </c>
      <c r="M5">
        <v>0</v>
      </c>
      <c r="N5">
        <f t="shared" si="1"/>
        <v>43</v>
      </c>
      <c r="O5">
        <f t="shared" si="2"/>
        <v>48.837209302325583</v>
      </c>
      <c r="P5">
        <f t="shared" si="5"/>
        <v>0</v>
      </c>
      <c r="Q5">
        <f t="shared" si="3"/>
        <v>27.906976744186046</v>
      </c>
      <c r="R5">
        <f t="shared" si="6"/>
        <v>20.930232558139537</v>
      </c>
      <c r="S5" t="s">
        <v>40</v>
      </c>
    </row>
    <row r="6" spans="1:19" x14ac:dyDescent="0.3">
      <c r="A6" t="s">
        <v>42</v>
      </c>
      <c r="B6">
        <v>20</v>
      </c>
      <c r="C6">
        <v>10</v>
      </c>
      <c r="D6">
        <v>70</v>
      </c>
      <c r="E6">
        <v>0</v>
      </c>
      <c r="F6">
        <f t="shared" si="4"/>
        <v>125</v>
      </c>
      <c r="G6">
        <f t="shared" si="0"/>
        <v>100</v>
      </c>
      <c r="H6">
        <v>0</v>
      </c>
      <c r="I6">
        <v>23</v>
      </c>
      <c r="J6">
        <v>17</v>
      </c>
      <c r="K6">
        <v>22</v>
      </c>
      <c r="L6">
        <v>8</v>
      </c>
      <c r="M6">
        <v>0</v>
      </c>
      <c r="N6">
        <f t="shared" si="1"/>
        <v>70</v>
      </c>
      <c r="O6">
        <f t="shared" si="2"/>
        <v>57.142857142857146</v>
      </c>
      <c r="P6">
        <f t="shared" si="5"/>
        <v>0</v>
      </c>
      <c r="Q6">
        <f t="shared" si="3"/>
        <v>32.857142857142854</v>
      </c>
      <c r="R6">
        <f t="shared" si="6"/>
        <v>24.285714285714285</v>
      </c>
      <c r="S6" t="s">
        <v>40</v>
      </c>
    </row>
    <row r="7" spans="1:19" x14ac:dyDescent="0.3">
      <c r="A7" t="s">
        <v>43</v>
      </c>
      <c r="B7">
        <v>25</v>
      </c>
      <c r="C7">
        <v>20</v>
      </c>
      <c r="D7">
        <v>50</v>
      </c>
      <c r="E7">
        <v>5</v>
      </c>
      <c r="F7">
        <f t="shared" si="4"/>
        <v>130</v>
      </c>
      <c r="G7">
        <f t="shared" si="0"/>
        <v>95</v>
      </c>
      <c r="H7">
        <v>0</v>
      </c>
      <c r="I7">
        <v>9</v>
      </c>
      <c r="J7">
        <v>10</v>
      </c>
      <c r="K7">
        <v>23</v>
      </c>
      <c r="L7">
        <v>10</v>
      </c>
      <c r="M7">
        <v>0</v>
      </c>
      <c r="N7">
        <f t="shared" si="1"/>
        <v>52</v>
      </c>
      <c r="O7">
        <f t="shared" si="2"/>
        <v>36.53846153846154</v>
      </c>
      <c r="P7">
        <f t="shared" si="5"/>
        <v>0</v>
      </c>
      <c r="Q7">
        <f t="shared" si="3"/>
        <v>17.307692307692307</v>
      </c>
      <c r="R7">
        <f t="shared" si="6"/>
        <v>19.23076923076923</v>
      </c>
      <c r="S7" t="s">
        <v>40</v>
      </c>
    </row>
    <row r="8" spans="1:19" x14ac:dyDescent="0.3">
      <c r="A8" t="s">
        <v>44</v>
      </c>
      <c r="B8">
        <v>50</v>
      </c>
      <c r="C8">
        <v>40</v>
      </c>
      <c r="D8">
        <v>0</v>
      </c>
      <c r="E8">
        <v>10</v>
      </c>
      <c r="F8">
        <f t="shared" si="4"/>
        <v>160</v>
      </c>
      <c r="G8">
        <f t="shared" si="0"/>
        <v>90</v>
      </c>
      <c r="H8">
        <v>9</v>
      </c>
      <c r="I8">
        <v>0</v>
      </c>
      <c r="J8">
        <v>14</v>
      </c>
      <c r="K8">
        <v>6</v>
      </c>
      <c r="L8">
        <v>112</v>
      </c>
      <c r="M8">
        <v>0</v>
      </c>
      <c r="N8">
        <f t="shared" si="1"/>
        <v>141</v>
      </c>
      <c r="O8">
        <f t="shared" si="2"/>
        <v>16.312056737588652</v>
      </c>
      <c r="P8">
        <f t="shared" si="5"/>
        <v>6.3829787234042552</v>
      </c>
      <c r="Q8">
        <f t="shared" si="3"/>
        <v>0</v>
      </c>
      <c r="R8">
        <f t="shared" si="6"/>
        <v>9.9290780141843964</v>
      </c>
      <c r="S8" t="s">
        <v>40</v>
      </c>
    </row>
    <row r="9" spans="1:19" x14ac:dyDescent="0.3">
      <c r="A9" t="s">
        <v>45</v>
      </c>
      <c r="B9">
        <v>10</v>
      </c>
      <c r="C9">
        <v>80</v>
      </c>
      <c r="D9">
        <v>0</v>
      </c>
      <c r="E9">
        <v>10</v>
      </c>
      <c r="F9">
        <f t="shared" si="4"/>
        <v>140</v>
      </c>
      <c r="G9">
        <f t="shared" si="0"/>
        <v>90</v>
      </c>
      <c r="H9">
        <v>0</v>
      </c>
      <c r="I9">
        <v>13</v>
      </c>
      <c r="J9">
        <v>7</v>
      </c>
      <c r="K9">
        <v>6</v>
      </c>
      <c r="L9">
        <v>6</v>
      </c>
      <c r="M9">
        <v>0</v>
      </c>
      <c r="N9">
        <f t="shared" si="1"/>
        <v>32</v>
      </c>
      <c r="O9">
        <f t="shared" si="2"/>
        <v>62.5</v>
      </c>
      <c r="P9">
        <f t="shared" si="5"/>
        <v>0</v>
      </c>
      <c r="Q9">
        <f t="shared" si="3"/>
        <v>40.625</v>
      </c>
      <c r="R9">
        <f t="shared" si="6"/>
        <v>21.875</v>
      </c>
      <c r="S9" t="s">
        <v>40</v>
      </c>
    </row>
    <row r="10" spans="1:19" x14ac:dyDescent="0.3">
      <c r="A10" t="s">
        <v>47</v>
      </c>
      <c r="B10">
        <v>80</v>
      </c>
      <c r="C10">
        <v>5</v>
      </c>
      <c r="D10">
        <v>10</v>
      </c>
      <c r="E10">
        <v>5</v>
      </c>
      <c r="F10">
        <f t="shared" si="4"/>
        <v>177.5</v>
      </c>
      <c r="G10">
        <f t="shared" si="0"/>
        <v>95</v>
      </c>
      <c r="H10">
        <v>0</v>
      </c>
      <c r="I10">
        <v>6</v>
      </c>
      <c r="J10">
        <v>7</v>
      </c>
      <c r="K10">
        <v>5</v>
      </c>
      <c r="L10">
        <v>23</v>
      </c>
      <c r="M10">
        <v>0</v>
      </c>
      <c r="N10">
        <f t="shared" si="1"/>
        <v>41</v>
      </c>
      <c r="O10">
        <f t="shared" si="2"/>
        <v>31.707317073170731</v>
      </c>
      <c r="P10">
        <f t="shared" si="5"/>
        <v>0</v>
      </c>
      <c r="Q10">
        <f t="shared" si="3"/>
        <v>14.634146341463415</v>
      </c>
      <c r="R10">
        <f t="shared" si="6"/>
        <v>17.073170731707318</v>
      </c>
      <c r="S10" t="s">
        <v>40</v>
      </c>
    </row>
    <row r="11" spans="1:19" x14ac:dyDescent="0.3">
      <c r="A11" t="s">
        <v>48</v>
      </c>
      <c r="B11">
        <v>90</v>
      </c>
      <c r="C11">
        <v>0</v>
      </c>
      <c r="D11">
        <v>10</v>
      </c>
      <c r="E11">
        <v>0</v>
      </c>
      <c r="F11">
        <f t="shared" si="4"/>
        <v>190</v>
      </c>
      <c r="G11">
        <f t="shared" si="0"/>
        <v>100</v>
      </c>
      <c r="H11">
        <v>0</v>
      </c>
      <c r="I11">
        <v>8</v>
      </c>
      <c r="J11">
        <v>0</v>
      </c>
      <c r="K11">
        <v>9</v>
      </c>
      <c r="L11">
        <v>13</v>
      </c>
      <c r="M11">
        <v>0</v>
      </c>
      <c r="N11">
        <f t="shared" si="1"/>
        <v>30</v>
      </c>
      <c r="O11">
        <f t="shared" si="2"/>
        <v>26.666666666666668</v>
      </c>
      <c r="P11">
        <f t="shared" si="5"/>
        <v>0</v>
      </c>
      <c r="Q11">
        <f t="shared" si="3"/>
        <v>26.666666666666668</v>
      </c>
      <c r="R11">
        <f t="shared" si="6"/>
        <v>0</v>
      </c>
      <c r="S11" t="s">
        <v>40</v>
      </c>
    </row>
    <row r="12" spans="1:19" x14ac:dyDescent="0.3">
      <c r="A12" t="s">
        <v>89</v>
      </c>
      <c r="B12">
        <v>0</v>
      </c>
      <c r="C12">
        <v>30</v>
      </c>
      <c r="D12">
        <v>10</v>
      </c>
      <c r="E12">
        <v>60</v>
      </c>
      <c r="F12">
        <f t="shared" si="4"/>
        <v>55</v>
      </c>
      <c r="G12">
        <f t="shared" si="0"/>
        <v>40</v>
      </c>
      <c r="H12">
        <v>10</v>
      </c>
      <c r="I12">
        <v>0</v>
      </c>
      <c r="J12">
        <v>4</v>
      </c>
      <c r="K12">
        <v>12</v>
      </c>
      <c r="L12">
        <v>34</v>
      </c>
      <c r="M12">
        <v>0</v>
      </c>
      <c r="N12">
        <f t="shared" si="1"/>
        <v>60</v>
      </c>
      <c r="O12">
        <f t="shared" si="2"/>
        <v>23.333333333333332</v>
      </c>
      <c r="P12">
        <f t="shared" si="5"/>
        <v>16.666666666666668</v>
      </c>
      <c r="Q12">
        <f t="shared" si="3"/>
        <v>0</v>
      </c>
      <c r="R12">
        <f t="shared" si="6"/>
        <v>6.666666666666667</v>
      </c>
      <c r="S12" t="s">
        <v>46</v>
      </c>
    </row>
    <row r="13" spans="1:19" x14ac:dyDescent="0.3">
      <c r="A13" t="s">
        <v>90</v>
      </c>
      <c r="B13">
        <v>5</v>
      </c>
      <c r="C13">
        <v>70</v>
      </c>
      <c r="D13">
        <v>10</v>
      </c>
      <c r="E13">
        <v>15</v>
      </c>
      <c r="F13">
        <f t="shared" si="4"/>
        <v>125</v>
      </c>
      <c r="G13">
        <f t="shared" si="0"/>
        <v>85</v>
      </c>
      <c r="H13">
        <v>0</v>
      </c>
      <c r="I13">
        <v>0</v>
      </c>
      <c r="J13">
        <v>20</v>
      </c>
      <c r="K13">
        <v>11</v>
      </c>
      <c r="L13">
        <v>15</v>
      </c>
      <c r="M13">
        <v>0</v>
      </c>
      <c r="N13">
        <f t="shared" si="1"/>
        <v>46</v>
      </c>
      <c r="O13">
        <f t="shared" si="2"/>
        <v>43.478260869565219</v>
      </c>
      <c r="P13">
        <f t="shared" si="5"/>
        <v>0</v>
      </c>
      <c r="Q13">
        <f t="shared" si="3"/>
        <v>0</v>
      </c>
      <c r="R13">
        <f t="shared" si="6"/>
        <v>43.478260869565219</v>
      </c>
      <c r="S13" t="s">
        <v>40</v>
      </c>
    </row>
    <row r="14" spans="1:19" x14ac:dyDescent="0.3">
      <c r="A14" t="s">
        <v>51</v>
      </c>
      <c r="B14">
        <v>40</v>
      </c>
      <c r="C14">
        <v>40</v>
      </c>
      <c r="D14">
        <v>10</v>
      </c>
      <c r="E14">
        <v>10</v>
      </c>
      <c r="F14">
        <f t="shared" si="4"/>
        <v>150</v>
      </c>
      <c r="G14">
        <f t="shared" si="0"/>
        <v>90</v>
      </c>
      <c r="H14">
        <v>0</v>
      </c>
      <c r="I14">
        <v>0</v>
      </c>
      <c r="J14">
        <v>54</v>
      </c>
      <c r="K14">
        <v>11</v>
      </c>
      <c r="L14">
        <v>16</v>
      </c>
      <c r="M14">
        <v>0</v>
      </c>
      <c r="N14">
        <f t="shared" si="1"/>
        <v>81</v>
      </c>
      <c r="O14">
        <f t="shared" si="2"/>
        <v>66.666666666666671</v>
      </c>
      <c r="P14">
        <f t="shared" si="5"/>
        <v>0</v>
      </c>
      <c r="Q14">
        <f t="shared" si="3"/>
        <v>0</v>
      </c>
      <c r="R14">
        <f t="shared" si="6"/>
        <v>66.666666666666671</v>
      </c>
      <c r="S14" t="s">
        <v>40</v>
      </c>
    </row>
    <row r="15" spans="1:19" x14ac:dyDescent="0.3">
      <c r="A15" t="s">
        <v>52</v>
      </c>
      <c r="B15">
        <v>40</v>
      </c>
      <c r="C15">
        <v>40</v>
      </c>
      <c r="D15">
        <v>20</v>
      </c>
      <c r="E15">
        <v>0</v>
      </c>
      <c r="F15">
        <f t="shared" si="4"/>
        <v>160</v>
      </c>
      <c r="G15">
        <f t="shared" si="0"/>
        <v>100</v>
      </c>
      <c r="H15">
        <v>44</v>
      </c>
      <c r="I15">
        <v>0</v>
      </c>
      <c r="J15">
        <v>0</v>
      </c>
      <c r="K15">
        <v>34</v>
      </c>
      <c r="L15">
        <v>18</v>
      </c>
      <c r="M15">
        <v>36</v>
      </c>
      <c r="N15">
        <f t="shared" si="1"/>
        <v>132</v>
      </c>
      <c r="O15">
        <f t="shared" si="2"/>
        <v>33.333333333333336</v>
      </c>
      <c r="P15">
        <f t="shared" si="5"/>
        <v>33.333333333333336</v>
      </c>
      <c r="Q15">
        <f t="shared" si="3"/>
        <v>0</v>
      </c>
      <c r="R15">
        <f t="shared" si="6"/>
        <v>0</v>
      </c>
      <c r="S15" t="s">
        <v>38</v>
      </c>
    </row>
    <row r="16" spans="1:19" x14ac:dyDescent="0.3">
      <c r="A16" t="s">
        <v>53</v>
      </c>
      <c r="B16">
        <v>70</v>
      </c>
      <c r="C16">
        <v>10</v>
      </c>
      <c r="D16" s="10">
        <v>20</v>
      </c>
      <c r="E16" s="13">
        <v>0</v>
      </c>
      <c r="F16">
        <f t="shared" si="4"/>
        <v>175</v>
      </c>
      <c r="G16">
        <f t="shared" si="0"/>
        <v>100</v>
      </c>
      <c r="H16" s="13">
        <v>0</v>
      </c>
      <c r="I16" s="13">
        <v>11</v>
      </c>
      <c r="J16" s="13">
        <v>0</v>
      </c>
      <c r="K16" s="13">
        <v>22</v>
      </c>
      <c r="L16" s="13">
        <v>13</v>
      </c>
      <c r="M16" s="13">
        <v>64</v>
      </c>
      <c r="N16">
        <f t="shared" si="1"/>
        <v>110</v>
      </c>
      <c r="O16">
        <f t="shared" si="2"/>
        <v>10</v>
      </c>
      <c r="P16">
        <f t="shared" si="5"/>
        <v>0</v>
      </c>
      <c r="Q16">
        <f t="shared" si="3"/>
        <v>10</v>
      </c>
      <c r="R16">
        <f t="shared" si="6"/>
        <v>0</v>
      </c>
      <c r="S16" t="s">
        <v>40</v>
      </c>
    </row>
    <row r="17" spans="1:19" x14ac:dyDescent="0.3">
      <c r="A17" t="s">
        <v>54</v>
      </c>
      <c r="B17">
        <v>70</v>
      </c>
      <c r="C17">
        <v>30</v>
      </c>
      <c r="D17">
        <v>0</v>
      </c>
      <c r="E17">
        <v>0</v>
      </c>
      <c r="F17">
        <f t="shared" si="4"/>
        <v>185</v>
      </c>
      <c r="G17">
        <f t="shared" si="0"/>
        <v>100</v>
      </c>
      <c r="H17">
        <v>0</v>
      </c>
      <c r="I17">
        <v>10</v>
      </c>
      <c r="J17">
        <v>5</v>
      </c>
      <c r="K17">
        <v>3</v>
      </c>
      <c r="L17">
        <v>16</v>
      </c>
      <c r="M17">
        <v>0</v>
      </c>
      <c r="N17">
        <f t="shared" si="1"/>
        <v>34</v>
      </c>
      <c r="O17">
        <f t="shared" si="2"/>
        <v>44.117647058823529</v>
      </c>
      <c r="P17">
        <f t="shared" si="5"/>
        <v>0</v>
      </c>
      <c r="Q17">
        <f t="shared" si="3"/>
        <v>29.411764705882351</v>
      </c>
      <c r="R17">
        <f t="shared" si="6"/>
        <v>14.705882352941176</v>
      </c>
      <c r="S17" t="s">
        <v>40</v>
      </c>
    </row>
    <row r="18" spans="1:19" x14ac:dyDescent="0.3">
      <c r="A18" t="s">
        <v>55</v>
      </c>
      <c r="B18">
        <v>0</v>
      </c>
      <c r="C18">
        <v>50</v>
      </c>
      <c r="D18">
        <v>10</v>
      </c>
      <c r="E18">
        <v>40</v>
      </c>
      <c r="F18">
        <f t="shared" si="4"/>
        <v>85</v>
      </c>
      <c r="G18">
        <f t="shared" si="0"/>
        <v>60</v>
      </c>
      <c r="H18">
        <v>56</v>
      </c>
      <c r="I18">
        <v>11</v>
      </c>
      <c r="J18">
        <v>0</v>
      </c>
      <c r="K18">
        <v>6</v>
      </c>
      <c r="L18">
        <v>48</v>
      </c>
      <c r="M18">
        <v>0</v>
      </c>
      <c r="N18">
        <f t="shared" si="1"/>
        <v>121</v>
      </c>
      <c r="O18">
        <f t="shared" si="2"/>
        <v>55.371900826446279</v>
      </c>
      <c r="P18">
        <f t="shared" si="5"/>
        <v>46.280991735537192</v>
      </c>
      <c r="Q18">
        <f t="shared" si="3"/>
        <v>9.0909090909090917</v>
      </c>
      <c r="R18">
        <f t="shared" si="6"/>
        <v>0</v>
      </c>
      <c r="S18" t="s">
        <v>38</v>
      </c>
    </row>
    <row r="19" spans="1:19" x14ac:dyDescent="0.3">
      <c r="A19" t="s">
        <v>56</v>
      </c>
      <c r="B19">
        <v>40</v>
      </c>
      <c r="C19">
        <v>20</v>
      </c>
      <c r="D19">
        <v>10</v>
      </c>
      <c r="E19">
        <v>30</v>
      </c>
      <c r="F19">
        <f t="shared" si="4"/>
        <v>120</v>
      </c>
      <c r="G19">
        <f t="shared" si="0"/>
        <v>70</v>
      </c>
      <c r="H19">
        <v>22</v>
      </c>
      <c r="I19">
        <v>57</v>
      </c>
      <c r="J19">
        <v>0</v>
      </c>
      <c r="K19">
        <v>6</v>
      </c>
      <c r="L19">
        <v>10</v>
      </c>
      <c r="M19">
        <v>0</v>
      </c>
      <c r="N19">
        <f t="shared" si="1"/>
        <v>95</v>
      </c>
      <c r="O19">
        <f t="shared" si="2"/>
        <v>83.15789473684211</v>
      </c>
      <c r="P19">
        <f t="shared" si="5"/>
        <v>23.157894736842106</v>
      </c>
      <c r="Q19">
        <f t="shared" si="3"/>
        <v>60</v>
      </c>
      <c r="R19">
        <f t="shared" si="6"/>
        <v>0</v>
      </c>
      <c r="S19" t="s">
        <v>46</v>
      </c>
    </row>
    <row r="20" spans="1:19" x14ac:dyDescent="0.3">
      <c r="A20" t="s">
        <v>57</v>
      </c>
      <c r="B20">
        <v>50</v>
      </c>
      <c r="C20">
        <v>30</v>
      </c>
      <c r="D20">
        <v>10</v>
      </c>
      <c r="E20">
        <v>10</v>
      </c>
      <c r="F20">
        <f t="shared" si="4"/>
        <v>155</v>
      </c>
      <c r="G20">
        <f t="shared" si="0"/>
        <v>90</v>
      </c>
      <c r="H20">
        <v>7</v>
      </c>
      <c r="I20">
        <v>9</v>
      </c>
      <c r="J20">
        <v>0</v>
      </c>
      <c r="K20">
        <v>4</v>
      </c>
      <c r="L20">
        <v>30</v>
      </c>
      <c r="M20">
        <v>0</v>
      </c>
      <c r="N20">
        <f t="shared" si="1"/>
        <v>50</v>
      </c>
      <c r="O20">
        <f t="shared" si="2"/>
        <v>32</v>
      </c>
      <c r="P20">
        <f t="shared" si="5"/>
        <v>14</v>
      </c>
      <c r="Q20">
        <f t="shared" si="3"/>
        <v>18</v>
      </c>
      <c r="R20">
        <f t="shared" si="6"/>
        <v>0</v>
      </c>
      <c r="S20" t="s">
        <v>46</v>
      </c>
    </row>
    <row r="21" spans="1:19" x14ac:dyDescent="0.3">
      <c r="A21" t="s">
        <v>58</v>
      </c>
      <c r="B21">
        <v>10</v>
      </c>
      <c r="C21">
        <v>50</v>
      </c>
      <c r="D21">
        <v>20</v>
      </c>
      <c r="E21">
        <v>20</v>
      </c>
      <c r="F21">
        <f t="shared" si="4"/>
        <v>115</v>
      </c>
      <c r="G21">
        <f t="shared" si="0"/>
        <v>80</v>
      </c>
      <c r="H21">
        <v>0</v>
      </c>
      <c r="I21">
        <v>0</v>
      </c>
      <c r="J21">
        <v>18</v>
      </c>
      <c r="K21">
        <v>20</v>
      </c>
      <c r="L21">
        <v>15</v>
      </c>
      <c r="M21">
        <v>0</v>
      </c>
      <c r="N21">
        <f t="shared" si="1"/>
        <v>53</v>
      </c>
      <c r="O21">
        <f t="shared" si="2"/>
        <v>33.962264150943398</v>
      </c>
      <c r="P21">
        <f t="shared" si="5"/>
        <v>0</v>
      </c>
      <c r="Q21">
        <f t="shared" si="3"/>
        <v>0</v>
      </c>
      <c r="R21">
        <f t="shared" si="6"/>
        <v>33.962264150943398</v>
      </c>
      <c r="S21" t="s">
        <v>40</v>
      </c>
    </row>
    <row r="22" spans="1:19" x14ac:dyDescent="0.3">
      <c r="A22" t="s">
        <v>59</v>
      </c>
      <c r="B22">
        <v>50</v>
      </c>
      <c r="C22">
        <v>50</v>
      </c>
      <c r="D22">
        <v>0</v>
      </c>
      <c r="E22">
        <v>0</v>
      </c>
      <c r="F22">
        <f t="shared" si="4"/>
        <v>175</v>
      </c>
      <c r="G22">
        <f t="shared" si="0"/>
        <v>100</v>
      </c>
      <c r="H22">
        <v>7</v>
      </c>
      <c r="I22">
        <v>10</v>
      </c>
      <c r="J22">
        <v>0</v>
      </c>
      <c r="K22">
        <v>10</v>
      </c>
      <c r="L22">
        <v>14</v>
      </c>
      <c r="M22">
        <v>0</v>
      </c>
      <c r="N22">
        <f t="shared" si="1"/>
        <v>41</v>
      </c>
      <c r="O22">
        <f t="shared" si="2"/>
        <v>41.463414634146339</v>
      </c>
      <c r="P22">
        <f t="shared" si="5"/>
        <v>17.073170731707318</v>
      </c>
      <c r="Q22">
        <f t="shared" si="3"/>
        <v>24.390243902439025</v>
      </c>
      <c r="R22">
        <f t="shared" si="6"/>
        <v>0</v>
      </c>
      <c r="S22" t="s">
        <v>46</v>
      </c>
    </row>
    <row r="23" spans="1:19" x14ac:dyDescent="0.3">
      <c r="A23" t="s">
        <v>60</v>
      </c>
      <c r="B23">
        <v>20</v>
      </c>
      <c r="C23">
        <v>30</v>
      </c>
      <c r="D23">
        <v>30</v>
      </c>
      <c r="E23">
        <v>20</v>
      </c>
      <c r="F23">
        <f t="shared" si="4"/>
        <v>115</v>
      </c>
      <c r="G23">
        <f t="shared" si="0"/>
        <v>80</v>
      </c>
      <c r="H23">
        <v>0</v>
      </c>
      <c r="I23">
        <v>0</v>
      </c>
      <c r="J23">
        <v>26</v>
      </c>
      <c r="K23">
        <v>21</v>
      </c>
      <c r="L23">
        <v>60</v>
      </c>
      <c r="M23">
        <v>0</v>
      </c>
      <c r="N23">
        <f t="shared" si="1"/>
        <v>107</v>
      </c>
      <c r="O23">
        <f t="shared" si="2"/>
        <v>24.299065420560748</v>
      </c>
      <c r="P23">
        <f t="shared" si="5"/>
        <v>0</v>
      </c>
      <c r="Q23">
        <f t="shared" si="3"/>
        <v>0</v>
      </c>
      <c r="R23">
        <f t="shared" si="6"/>
        <v>24.299065420560748</v>
      </c>
      <c r="S23" t="s">
        <v>40</v>
      </c>
    </row>
    <row r="24" spans="1:19" x14ac:dyDescent="0.3">
      <c r="A24" t="s">
        <v>61</v>
      </c>
      <c r="B24">
        <v>10</v>
      </c>
      <c r="C24">
        <v>40</v>
      </c>
      <c r="D24">
        <v>30</v>
      </c>
      <c r="E24">
        <v>20</v>
      </c>
      <c r="F24">
        <f t="shared" si="4"/>
        <v>110</v>
      </c>
      <c r="G24">
        <f t="shared" si="0"/>
        <v>80</v>
      </c>
      <c r="H24">
        <v>20</v>
      </c>
      <c r="I24">
        <v>11</v>
      </c>
      <c r="J24">
        <v>0</v>
      </c>
      <c r="K24">
        <v>32</v>
      </c>
      <c r="L24">
        <v>19</v>
      </c>
      <c r="M24">
        <v>0</v>
      </c>
      <c r="N24">
        <f t="shared" si="1"/>
        <v>82</v>
      </c>
      <c r="O24">
        <f t="shared" si="2"/>
        <v>37.804878048780488</v>
      </c>
      <c r="P24">
        <f t="shared" si="5"/>
        <v>24.390243902439025</v>
      </c>
      <c r="Q24">
        <f t="shared" si="3"/>
        <v>13.414634146341463</v>
      </c>
      <c r="R24">
        <f t="shared" si="6"/>
        <v>0</v>
      </c>
      <c r="S24" t="s">
        <v>46</v>
      </c>
    </row>
    <row r="25" spans="1:19" x14ac:dyDescent="0.3">
      <c r="A25" t="s">
        <v>74</v>
      </c>
      <c r="B25">
        <v>50</v>
      </c>
      <c r="C25">
        <v>20</v>
      </c>
      <c r="D25">
        <v>20</v>
      </c>
      <c r="E25">
        <v>10</v>
      </c>
      <c r="F25">
        <f t="shared" si="4"/>
        <v>150</v>
      </c>
      <c r="G25">
        <f t="shared" si="0"/>
        <v>90</v>
      </c>
      <c r="H25">
        <v>0</v>
      </c>
      <c r="I25">
        <v>0</v>
      </c>
      <c r="J25">
        <v>0</v>
      </c>
      <c r="K25">
        <v>0</v>
      </c>
      <c r="L25">
        <v>0</v>
      </c>
      <c r="M25">
        <v>50</v>
      </c>
      <c r="N25">
        <f t="shared" si="1"/>
        <v>50</v>
      </c>
      <c r="O25">
        <f t="shared" si="2"/>
        <v>0</v>
      </c>
      <c r="P25">
        <f t="shared" si="5"/>
        <v>0</v>
      </c>
      <c r="Q25">
        <f t="shared" si="3"/>
        <v>0</v>
      </c>
      <c r="R25">
        <f t="shared" si="6"/>
        <v>0</v>
      </c>
      <c r="S25" t="s">
        <v>40</v>
      </c>
    </row>
    <row r="26" spans="1:19" x14ac:dyDescent="0.3">
      <c r="A26" t="s">
        <v>70</v>
      </c>
      <c r="B26">
        <v>0</v>
      </c>
      <c r="C26">
        <v>40</v>
      </c>
      <c r="D26">
        <v>40</v>
      </c>
      <c r="E26">
        <v>20</v>
      </c>
      <c r="F26">
        <f t="shared" si="4"/>
        <v>100</v>
      </c>
      <c r="G26">
        <f t="shared" si="0"/>
        <v>80</v>
      </c>
      <c r="H26">
        <v>13</v>
      </c>
      <c r="I26">
        <v>0</v>
      </c>
      <c r="J26">
        <v>6</v>
      </c>
      <c r="K26">
        <v>42</v>
      </c>
      <c r="L26">
        <v>33</v>
      </c>
      <c r="M26">
        <v>0</v>
      </c>
      <c r="N26">
        <f t="shared" si="1"/>
        <v>94</v>
      </c>
      <c r="O26">
        <f t="shared" si="2"/>
        <v>20.212765957446809</v>
      </c>
      <c r="P26">
        <f t="shared" si="5"/>
        <v>13.829787234042554</v>
      </c>
      <c r="Q26">
        <f t="shared" si="3"/>
        <v>0</v>
      </c>
      <c r="R26">
        <f t="shared" si="6"/>
        <v>6.3829787234042552</v>
      </c>
      <c r="S26" t="s">
        <v>63</v>
      </c>
    </row>
    <row r="27" spans="1:19" x14ac:dyDescent="0.3">
      <c r="A27" t="s">
        <v>71</v>
      </c>
      <c r="B27">
        <v>30</v>
      </c>
      <c r="C27">
        <v>30</v>
      </c>
      <c r="D27">
        <v>30</v>
      </c>
      <c r="E27">
        <v>10</v>
      </c>
      <c r="F27">
        <f t="shared" si="4"/>
        <v>135</v>
      </c>
      <c r="G27">
        <f t="shared" si="0"/>
        <v>90</v>
      </c>
      <c r="H27">
        <v>29</v>
      </c>
      <c r="I27">
        <v>29</v>
      </c>
      <c r="J27">
        <v>0</v>
      </c>
      <c r="K27">
        <v>44</v>
      </c>
      <c r="L27">
        <v>14</v>
      </c>
      <c r="M27">
        <v>0</v>
      </c>
      <c r="N27">
        <f t="shared" si="1"/>
        <v>116</v>
      </c>
      <c r="O27">
        <f t="shared" si="2"/>
        <v>50</v>
      </c>
      <c r="P27">
        <f t="shared" si="5"/>
        <v>25</v>
      </c>
      <c r="Q27">
        <f t="shared" si="3"/>
        <v>25</v>
      </c>
      <c r="R27">
        <f t="shared" si="6"/>
        <v>0</v>
      </c>
      <c r="S27" t="s">
        <v>38</v>
      </c>
    </row>
    <row r="28" spans="1:19" x14ac:dyDescent="0.3">
      <c r="A28" t="s">
        <v>72</v>
      </c>
      <c r="B28">
        <v>70</v>
      </c>
      <c r="C28">
        <v>0</v>
      </c>
      <c r="D28">
        <v>20</v>
      </c>
      <c r="E28">
        <v>10</v>
      </c>
      <c r="F28">
        <f t="shared" si="4"/>
        <v>160</v>
      </c>
      <c r="G28">
        <f t="shared" si="0"/>
        <v>90</v>
      </c>
      <c r="H28">
        <v>0</v>
      </c>
      <c r="I28">
        <v>0</v>
      </c>
      <c r="J28">
        <v>0</v>
      </c>
      <c r="K28">
        <v>100</v>
      </c>
      <c r="L28">
        <v>0</v>
      </c>
      <c r="M28">
        <v>0</v>
      </c>
      <c r="N28">
        <f t="shared" si="1"/>
        <v>100</v>
      </c>
      <c r="O28">
        <f t="shared" si="2"/>
        <v>0</v>
      </c>
      <c r="P28">
        <f t="shared" si="5"/>
        <v>0</v>
      </c>
      <c r="Q28">
        <f t="shared" si="3"/>
        <v>0</v>
      </c>
      <c r="R28">
        <f t="shared" si="6"/>
        <v>0</v>
      </c>
      <c r="S28" t="s">
        <v>63</v>
      </c>
    </row>
    <row r="29" spans="1:19" x14ac:dyDescent="0.3">
      <c r="A29" t="s">
        <v>73</v>
      </c>
      <c r="B29">
        <v>50</v>
      </c>
      <c r="C29">
        <v>30</v>
      </c>
      <c r="D29">
        <v>10</v>
      </c>
      <c r="E29">
        <v>10</v>
      </c>
      <c r="F29">
        <f t="shared" si="4"/>
        <v>155</v>
      </c>
      <c r="G29">
        <f t="shared" si="0"/>
        <v>90</v>
      </c>
      <c r="H29">
        <v>0</v>
      </c>
      <c r="I29">
        <v>0</v>
      </c>
      <c r="J29">
        <v>18</v>
      </c>
      <c r="K29">
        <v>6</v>
      </c>
      <c r="L29">
        <v>17</v>
      </c>
      <c r="M29">
        <v>0</v>
      </c>
      <c r="N29">
        <f t="shared" si="1"/>
        <v>41</v>
      </c>
      <c r="O29">
        <f t="shared" si="2"/>
        <v>43.902439024390247</v>
      </c>
      <c r="P29">
        <f t="shared" si="5"/>
        <v>0</v>
      </c>
      <c r="Q29">
        <f t="shared" si="3"/>
        <v>0</v>
      </c>
      <c r="R29">
        <f t="shared" si="6"/>
        <v>43.902439024390247</v>
      </c>
      <c r="S29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BC4D1-9DE8-4A48-A4C9-B8A32D2CEFD7}">
  <dimension ref="A1:K337"/>
  <sheetViews>
    <sheetView topLeftCell="I4" workbookViewId="0">
      <selection activeCell="L31" sqref="L31"/>
    </sheetView>
  </sheetViews>
  <sheetFormatPr defaultRowHeight="14.4" x14ac:dyDescent="0.3"/>
  <cols>
    <col min="1" max="1" width="21.109375" bestFit="1" customWidth="1"/>
    <col min="2" max="2" width="8.5546875" bestFit="1" customWidth="1"/>
    <col min="3" max="3" width="7.88671875" bestFit="1" customWidth="1"/>
    <col min="4" max="4" width="15.44140625" bestFit="1" customWidth="1"/>
    <col min="5" max="5" width="19" bestFit="1" customWidth="1"/>
    <col min="6" max="6" width="12.44140625" bestFit="1" customWidth="1"/>
    <col min="7" max="7" width="10.6640625" customWidth="1"/>
    <col min="8" max="8" width="8.6640625" customWidth="1"/>
    <col min="9" max="9" width="21.109375" bestFit="1" customWidth="1"/>
    <col min="10" max="10" width="24.5546875" bestFit="1" customWidth="1"/>
    <col min="11" max="11" width="17.109375" bestFit="1" customWidth="1"/>
    <col min="12" max="12" width="23.6640625" bestFit="1" customWidth="1"/>
    <col min="13" max="13" width="9.88671875" bestFit="1" customWidth="1"/>
  </cols>
  <sheetData>
    <row r="1" spans="1:11" x14ac:dyDescent="0.3">
      <c r="A1" s="2" t="s">
        <v>1</v>
      </c>
      <c r="B1" s="2" t="s">
        <v>91</v>
      </c>
      <c r="C1" s="2" t="s">
        <v>92</v>
      </c>
      <c r="D1" s="2" t="s">
        <v>93</v>
      </c>
      <c r="E1" s="2" t="s">
        <v>94</v>
      </c>
      <c r="F1" s="2" t="s">
        <v>95</v>
      </c>
      <c r="I1" s="2" t="s">
        <v>1</v>
      </c>
      <c r="J1" s="17" t="s">
        <v>17</v>
      </c>
      <c r="K1" s="17" t="s">
        <v>9</v>
      </c>
    </row>
    <row r="2" spans="1:11" x14ac:dyDescent="0.3">
      <c r="A2" t="s">
        <v>96</v>
      </c>
      <c r="B2">
        <v>1</v>
      </c>
      <c r="C2" t="s">
        <v>97</v>
      </c>
      <c r="D2">
        <v>6.06</v>
      </c>
      <c r="E2" t="s">
        <v>98</v>
      </c>
      <c r="I2" t="s">
        <v>34</v>
      </c>
      <c r="J2">
        <f>AVERAGE(D2:D13)</f>
        <v>42.881666666666668</v>
      </c>
      <c r="K2" s="7" t="s">
        <v>99</v>
      </c>
    </row>
    <row r="3" spans="1:11" x14ac:dyDescent="0.3">
      <c r="A3" t="s">
        <v>96</v>
      </c>
      <c r="B3">
        <v>1</v>
      </c>
      <c r="C3" t="s">
        <v>100</v>
      </c>
      <c r="D3" s="7">
        <v>5</v>
      </c>
      <c r="E3" t="s">
        <v>101</v>
      </c>
      <c r="I3" t="s">
        <v>36</v>
      </c>
      <c r="J3">
        <f>AVERAGE(D14:D25)</f>
        <v>73.128333333333345</v>
      </c>
      <c r="K3" t="s">
        <v>99</v>
      </c>
    </row>
    <row r="4" spans="1:11" x14ac:dyDescent="0.3">
      <c r="A4" t="s">
        <v>96</v>
      </c>
      <c r="B4">
        <v>1</v>
      </c>
      <c r="C4" t="s">
        <v>102</v>
      </c>
      <c r="D4">
        <v>3.55</v>
      </c>
      <c r="E4" t="s">
        <v>98</v>
      </c>
      <c r="I4" t="s">
        <v>39</v>
      </c>
      <c r="J4">
        <f>AVERAGE(D26:D37)</f>
        <v>65.523333333333326</v>
      </c>
      <c r="K4">
        <f>AVERAGE(E26:E37)</f>
        <v>39.166666666666664</v>
      </c>
    </row>
    <row r="5" spans="1:11" x14ac:dyDescent="0.3">
      <c r="A5" t="s">
        <v>96</v>
      </c>
      <c r="B5">
        <v>2</v>
      </c>
      <c r="C5" t="s">
        <v>97</v>
      </c>
      <c r="D5">
        <v>28.34</v>
      </c>
      <c r="E5" t="s">
        <v>103</v>
      </c>
      <c r="I5" t="s">
        <v>41</v>
      </c>
      <c r="J5">
        <f>AVERAGE(D38:D49)</f>
        <v>39.185833333333335</v>
      </c>
      <c r="K5">
        <f>AVERAGE(E38:E49)</f>
        <v>38.333333333333336</v>
      </c>
    </row>
    <row r="6" spans="1:11" x14ac:dyDescent="0.3">
      <c r="A6" t="s">
        <v>96</v>
      </c>
      <c r="B6">
        <v>2</v>
      </c>
      <c r="C6" t="s">
        <v>100</v>
      </c>
      <c r="D6">
        <v>21.92</v>
      </c>
      <c r="E6" t="s">
        <v>103</v>
      </c>
      <c r="I6" t="s">
        <v>42</v>
      </c>
      <c r="J6">
        <f>AVERAGE(D50:D61)</f>
        <v>26.562499999999996</v>
      </c>
      <c r="K6">
        <f>AVERAGE(E50:E61)</f>
        <v>53.333333333333336</v>
      </c>
    </row>
    <row r="7" spans="1:11" x14ac:dyDescent="0.3">
      <c r="A7" t="s">
        <v>96</v>
      </c>
      <c r="B7">
        <v>2</v>
      </c>
      <c r="C7" t="s">
        <v>102</v>
      </c>
      <c r="D7">
        <v>86.36</v>
      </c>
      <c r="E7" t="s">
        <v>103</v>
      </c>
      <c r="I7" t="s">
        <v>43</v>
      </c>
      <c r="J7">
        <f>AVERAGE(D62:D73)</f>
        <v>45.559166666666663</v>
      </c>
      <c r="K7">
        <f>AVERAGE(E62:E73)</f>
        <v>51.25</v>
      </c>
    </row>
    <row r="8" spans="1:11" x14ac:dyDescent="0.3">
      <c r="A8" t="s">
        <v>96</v>
      </c>
      <c r="B8">
        <v>3</v>
      </c>
      <c r="C8" t="s">
        <v>97</v>
      </c>
      <c r="D8">
        <v>57.36</v>
      </c>
      <c r="E8" t="s">
        <v>104</v>
      </c>
      <c r="I8" t="s">
        <v>44</v>
      </c>
      <c r="J8" s="7">
        <f>AVERAGE(D74:D85)</f>
        <v>14.961666666666668</v>
      </c>
      <c r="K8" s="7">
        <f>AVERAGE(E74:E85)</f>
        <v>51.666666666666664</v>
      </c>
    </row>
    <row r="9" spans="1:11" x14ac:dyDescent="0.3">
      <c r="A9" t="s">
        <v>96</v>
      </c>
      <c r="B9">
        <v>3</v>
      </c>
      <c r="C9" t="s">
        <v>100</v>
      </c>
      <c r="D9">
        <v>67.760000000000005</v>
      </c>
      <c r="I9" t="s">
        <v>45</v>
      </c>
      <c r="J9">
        <f>AVERAGE(D86:D97)</f>
        <v>25.768333333333334</v>
      </c>
      <c r="K9">
        <f>AVERAGE(E86:E97)</f>
        <v>31.25</v>
      </c>
    </row>
    <row r="10" spans="1:11" x14ac:dyDescent="0.3">
      <c r="A10" t="s">
        <v>96</v>
      </c>
      <c r="B10">
        <v>3</v>
      </c>
      <c r="C10" t="s">
        <v>102</v>
      </c>
      <c r="D10">
        <v>60.77</v>
      </c>
      <c r="I10" t="s">
        <v>47</v>
      </c>
      <c r="J10" s="7">
        <f>AVERAGE(D98:D109)</f>
        <v>54.186666666666667</v>
      </c>
      <c r="K10" s="7">
        <f>AVERAGE(E98:E109)</f>
        <v>28.75</v>
      </c>
    </row>
    <row r="11" spans="1:11" x14ac:dyDescent="0.3">
      <c r="A11" t="s">
        <v>96</v>
      </c>
      <c r="B11">
        <v>4</v>
      </c>
      <c r="C11" t="s">
        <v>97</v>
      </c>
      <c r="D11">
        <v>64.86</v>
      </c>
      <c r="I11" t="s">
        <v>48</v>
      </c>
      <c r="J11">
        <f>AVERAGE(D110:D121)</f>
        <v>65.035833333333343</v>
      </c>
      <c r="K11">
        <f>AVERAGE(E110:E121)</f>
        <v>34.545454545454547</v>
      </c>
    </row>
    <row r="12" spans="1:11" x14ac:dyDescent="0.3">
      <c r="A12" t="s">
        <v>96</v>
      </c>
      <c r="B12">
        <v>4</v>
      </c>
      <c r="C12" t="s">
        <v>100</v>
      </c>
      <c r="D12">
        <v>41.38</v>
      </c>
      <c r="I12" t="s">
        <v>49</v>
      </c>
      <c r="J12">
        <f>AVERAGE(D122:D133)</f>
        <v>68.842499999999987</v>
      </c>
      <c r="K12">
        <f>AVERAGE(E122:E133)</f>
        <v>39.166666666666664</v>
      </c>
    </row>
    <row r="13" spans="1:11" x14ac:dyDescent="0.3">
      <c r="A13" t="s">
        <v>96</v>
      </c>
      <c r="B13">
        <v>4</v>
      </c>
      <c r="C13" t="s">
        <v>102</v>
      </c>
      <c r="D13">
        <v>71.22</v>
      </c>
      <c r="I13" t="s">
        <v>50</v>
      </c>
      <c r="J13">
        <f>AVERAGE(D134:D145)</f>
        <v>79.204166666666666</v>
      </c>
      <c r="K13">
        <f>AVERAGE(E134:E145)</f>
        <v>28.333333333333332</v>
      </c>
    </row>
    <row r="14" spans="1:11" x14ac:dyDescent="0.3">
      <c r="A14" t="s">
        <v>36</v>
      </c>
      <c r="B14">
        <v>1</v>
      </c>
      <c r="C14" t="s">
        <v>97</v>
      </c>
      <c r="D14">
        <v>61.27</v>
      </c>
      <c r="E14">
        <v>30</v>
      </c>
      <c r="F14" t="s">
        <v>105</v>
      </c>
      <c r="H14" s="5"/>
      <c r="I14" t="s">
        <v>51</v>
      </c>
      <c r="J14">
        <f>AVERAGE(D146:D157)</f>
        <v>13.763333333333334</v>
      </c>
      <c r="K14">
        <f>AVERAGE(E146:E157)</f>
        <v>33.333333333333336</v>
      </c>
    </row>
    <row r="15" spans="1:11" x14ac:dyDescent="0.3">
      <c r="A15" t="s">
        <v>36</v>
      </c>
      <c r="B15">
        <v>1</v>
      </c>
      <c r="C15" t="s">
        <v>100</v>
      </c>
      <c r="D15">
        <v>63.85</v>
      </c>
      <c r="E15" t="s">
        <v>106</v>
      </c>
      <c r="F15" t="s">
        <v>105</v>
      </c>
      <c r="I15" t="s">
        <v>52</v>
      </c>
      <c r="J15">
        <f>AVERAGE(D158:D169)</f>
        <v>49.425833333333337</v>
      </c>
      <c r="K15">
        <f>AVERAGE(E158:E169)</f>
        <v>24.166666666666668</v>
      </c>
    </row>
    <row r="16" spans="1:11" x14ac:dyDescent="0.3">
      <c r="A16" t="s">
        <v>36</v>
      </c>
      <c r="B16">
        <v>1</v>
      </c>
      <c r="C16" t="s">
        <v>102</v>
      </c>
      <c r="D16">
        <v>72.11</v>
      </c>
      <c r="E16">
        <v>40</v>
      </c>
      <c r="F16" t="s">
        <v>105</v>
      </c>
      <c r="I16" t="s">
        <v>53</v>
      </c>
      <c r="J16">
        <f>AVERAGE(D170:D181)</f>
        <v>41.967500000000001</v>
      </c>
      <c r="K16">
        <f t="shared" ref="K16" si="0">AVERAGE(E170:E181)</f>
        <v>35.833333333333336</v>
      </c>
    </row>
    <row r="17" spans="1:11" x14ac:dyDescent="0.3">
      <c r="A17" t="s">
        <v>36</v>
      </c>
      <c r="B17">
        <v>2</v>
      </c>
      <c r="C17" t="s">
        <v>97</v>
      </c>
      <c r="D17">
        <v>68.22</v>
      </c>
      <c r="E17">
        <v>30</v>
      </c>
      <c r="F17" t="s">
        <v>107</v>
      </c>
      <c r="I17" t="s">
        <v>54</v>
      </c>
      <c r="J17">
        <f>AVERAGE(D182:D193)</f>
        <v>62.735833333333339</v>
      </c>
      <c r="K17">
        <f t="shared" ref="K17" si="1">AVERAGE(E182:E193)</f>
        <v>40.833333333333336</v>
      </c>
    </row>
    <row r="18" spans="1:11" x14ac:dyDescent="0.3">
      <c r="A18" t="s">
        <v>36</v>
      </c>
      <c r="B18">
        <v>2</v>
      </c>
      <c r="C18" t="s">
        <v>100</v>
      </c>
      <c r="D18">
        <v>66.13</v>
      </c>
      <c r="E18">
        <v>50</v>
      </c>
      <c r="F18" t="s">
        <v>107</v>
      </c>
      <c r="I18" t="s">
        <v>55</v>
      </c>
      <c r="J18">
        <f>AVERAGE(D194:D205)</f>
        <v>33.587500000000006</v>
      </c>
      <c r="K18">
        <f t="shared" ref="K18" si="2">AVERAGE(E194:E205)</f>
        <v>39.166666666666664</v>
      </c>
    </row>
    <row r="19" spans="1:11" x14ac:dyDescent="0.3">
      <c r="A19" t="s">
        <v>36</v>
      </c>
      <c r="B19">
        <v>2</v>
      </c>
      <c r="C19" t="s">
        <v>102</v>
      </c>
      <c r="D19">
        <v>86.23</v>
      </c>
      <c r="E19">
        <v>90</v>
      </c>
      <c r="F19" t="s">
        <v>107</v>
      </c>
      <c r="I19" t="s">
        <v>56</v>
      </c>
      <c r="J19">
        <f>AVERAGE(D206:D217)</f>
        <v>21.282499999999999</v>
      </c>
      <c r="K19">
        <f t="shared" ref="K19" si="3">AVERAGE(E206:E217)</f>
        <v>52.5</v>
      </c>
    </row>
    <row r="20" spans="1:11" x14ac:dyDescent="0.3">
      <c r="A20" t="s">
        <v>36</v>
      </c>
      <c r="B20">
        <v>3</v>
      </c>
      <c r="C20" t="s">
        <v>97</v>
      </c>
      <c r="D20">
        <v>73.540000000000006</v>
      </c>
      <c r="E20">
        <v>20</v>
      </c>
      <c r="F20" t="s">
        <v>105</v>
      </c>
      <c r="I20" t="s">
        <v>57</v>
      </c>
      <c r="J20">
        <f>AVERAGE(D218:D229)</f>
        <v>49.232499999999995</v>
      </c>
      <c r="K20">
        <f t="shared" ref="K20" si="4">AVERAGE(E218:E229)</f>
        <v>48.333333333333336</v>
      </c>
    </row>
    <row r="21" spans="1:11" x14ac:dyDescent="0.3">
      <c r="A21" t="s">
        <v>36</v>
      </c>
      <c r="B21">
        <v>3</v>
      </c>
      <c r="C21" t="s">
        <v>100</v>
      </c>
      <c r="D21">
        <v>49.52</v>
      </c>
      <c r="E21" t="s">
        <v>106</v>
      </c>
      <c r="F21" t="s">
        <v>105</v>
      </c>
      <c r="I21" t="s">
        <v>58</v>
      </c>
      <c r="J21">
        <f>AVERAGE(D230:D241)</f>
        <v>35.830833333333338</v>
      </c>
      <c r="K21">
        <f t="shared" ref="K21" si="5">AVERAGE(E230:E241)</f>
        <v>14.166666666666666</v>
      </c>
    </row>
    <row r="22" spans="1:11" x14ac:dyDescent="0.3">
      <c r="A22" t="s">
        <v>36</v>
      </c>
      <c r="B22">
        <v>3</v>
      </c>
      <c r="C22" t="s">
        <v>102</v>
      </c>
      <c r="D22">
        <v>76.08</v>
      </c>
      <c r="E22" t="s">
        <v>106</v>
      </c>
      <c r="F22" t="s">
        <v>105</v>
      </c>
      <c r="I22" t="s">
        <v>59</v>
      </c>
      <c r="J22">
        <f>AVERAGE(D242:D253)</f>
        <v>54.798333333333346</v>
      </c>
      <c r="K22">
        <f t="shared" ref="K22" si="6">AVERAGE(E242:E253)</f>
        <v>41.666666666666664</v>
      </c>
    </row>
    <row r="23" spans="1:11" x14ac:dyDescent="0.3">
      <c r="A23" t="s">
        <v>36</v>
      </c>
      <c r="B23">
        <v>4</v>
      </c>
      <c r="C23" t="s">
        <v>97</v>
      </c>
      <c r="D23">
        <v>86.38</v>
      </c>
      <c r="E23">
        <v>80</v>
      </c>
      <c r="F23" t="s">
        <v>107</v>
      </c>
      <c r="I23" t="s">
        <v>60</v>
      </c>
      <c r="J23">
        <f>AVERAGE(D254:D265)</f>
        <v>59.477499999999999</v>
      </c>
      <c r="K23">
        <f>AVERAGE(E254:E265)</f>
        <v>52.5</v>
      </c>
    </row>
    <row r="24" spans="1:11" x14ac:dyDescent="0.3">
      <c r="A24" t="s">
        <v>36</v>
      </c>
      <c r="B24">
        <v>4</v>
      </c>
      <c r="C24" t="s">
        <v>100</v>
      </c>
      <c r="D24">
        <v>89.14</v>
      </c>
      <c r="E24">
        <v>90</v>
      </c>
      <c r="F24" t="s">
        <v>108</v>
      </c>
      <c r="I24" t="s">
        <v>61</v>
      </c>
      <c r="J24">
        <f>AVERAGE(D266:D277)</f>
        <v>41.534166666666664</v>
      </c>
      <c r="K24">
        <f>AVERAGE(E266:E277)</f>
        <v>46.666666666666664</v>
      </c>
    </row>
    <row r="25" spans="1:11" x14ac:dyDescent="0.3">
      <c r="A25" t="s">
        <v>36</v>
      </c>
      <c r="B25">
        <v>4</v>
      </c>
      <c r="C25" t="s">
        <v>102</v>
      </c>
      <c r="D25">
        <v>85.07</v>
      </c>
      <c r="E25">
        <v>40</v>
      </c>
      <c r="F25" t="s">
        <v>107</v>
      </c>
      <c r="I25" t="s">
        <v>74</v>
      </c>
      <c r="J25">
        <f>AVERAGE(D278:D289)</f>
        <v>10</v>
      </c>
      <c r="K25">
        <f>AVERAGE(E278:E289)</f>
        <v>0</v>
      </c>
    </row>
    <row r="26" spans="1:11" x14ac:dyDescent="0.3">
      <c r="A26" t="s">
        <v>39</v>
      </c>
      <c r="B26">
        <v>1</v>
      </c>
      <c r="C26" t="s">
        <v>97</v>
      </c>
      <c r="D26">
        <v>67.03</v>
      </c>
      <c r="E26">
        <v>50</v>
      </c>
      <c r="F26" t="s">
        <v>105</v>
      </c>
      <c r="I26" t="s">
        <v>70</v>
      </c>
      <c r="J26">
        <f>AVERAGE(D290:D301)</f>
        <v>59.556666666666672</v>
      </c>
      <c r="K26">
        <f>AVERAGE(E290:E301)</f>
        <v>56.666666666666664</v>
      </c>
    </row>
    <row r="27" spans="1:11" x14ac:dyDescent="0.3">
      <c r="A27" t="s">
        <v>39</v>
      </c>
      <c r="B27">
        <v>1</v>
      </c>
      <c r="C27" t="s">
        <v>100</v>
      </c>
      <c r="D27">
        <v>57.01</v>
      </c>
      <c r="E27">
        <v>0</v>
      </c>
      <c r="F27" t="s">
        <v>105</v>
      </c>
      <c r="I27" t="s">
        <v>71</v>
      </c>
      <c r="J27">
        <f>AVERAGE(D302:D313)</f>
        <v>24.454999999999998</v>
      </c>
      <c r="K27">
        <f>AVERAGE(E302:E313)</f>
        <v>31.666666666666668</v>
      </c>
    </row>
    <row r="28" spans="1:11" x14ac:dyDescent="0.3">
      <c r="A28" t="s">
        <v>39</v>
      </c>
      <c r="B28">
        <v>1</v>
      </c>
      <c r="C28" t="s">
        <v>102</v>
      </c>
      <c r="D28">
        <v>85.18</v>
      </c>
      <c r="E28">
        <v>30</v>
      </c>
      <c r="F28" t="s">
        <v>105</v>
      </c>
      <c r="I28" t="s">
        <v>72</v>
      </c>
      <c r="J28">
        <f>AVERAGE(D314:D325)</f>
        <v>29.570833333333336</v>
      </c>
      <c r="K28">
        <f>AVERAGE(E314:E325)</f>
        <v>9.1666666666666661</v>
      </c>
    </row>
    <row r="29" spans="1:11" x14ac:dyDescent="0.3">
      <c r="A29" t="s">
        <v>39</v>
      </c>
      <c r="B29">
        <v>2</v>
      </c>
      <c r="C29" t="s">
        <v>97</v>
      </c>
      <c r="D29" s="7">
        <v>1</v>
      </c>
      <c r="E29">
        <v>80</v>
      </c>
      <c r="F29" t="s">
        <v>107</v>
      </c>
      <c r="I29" t="s">
        <v>73</v>
      </c>
      <c r="J29">
        <f>AVERAGE(D326:D337)</f>
        <v>52.709166666666675</v>
      </c>
      <c r="K29">
        <f>AVERAGE(E326:E337)</f>
        <v>37.5</v>
      </c>
    </row>
    <row r="30" spans="1:11" x14ac:dyDescent="0.3">
      <c r="A30" t="s">
        <v>39</v>
      </c>
      <c r="B30">
        <v>2</v>
      </c>
      <c r="C30" t="s">
        <v>100</v>
      </c>
      <c r="D30">
        <v>4.32</v>
      </c>
      <c r="E30">
        <v>90</v>
      </c>
      <c r="F30" t="s">
        <v>107</v>
      </c>
    </row>
    <row r="31" spans="1:11" x14ac:dyDescent="0.3">
      <c r="A31" t="s">
        <v>39</v>
      </c>
      <c r="B31">
        <v>2</v>
      </c>
      <c r="C31" t="s">
        <v>102</v>
      </c>
      <c r="D31">
        <v>63.15</v>
      </c>
      <c r="E31">
        <v>40</v>
      </c>
      <c r="F31" t="s">
        <v>107</v>
      </c>
    </row>
    <row r="32" spans="1:11" x14ac:dyDescent="0.3">
      <c r="A32" t="s">
        <v>39</v>
      </c>
      <c r="B32">
        <v>3</v>
      </c>
      <c r="C32" t="s">
        <v>97</v>
      </c>
      <c r="D32">
        <v>100</v>
      </c>
      <c r="E32">
        <v>0</v>
      </c>
      <c r="F32" t="s">
        <v>105</v>
      </c>
    </row>
    <row r="33" spans="1:6" x14ac:dyDescent="0.3">
      <c r="A33" t="s">
        <v>39</v>
      </c>
      <c r="B33">
        <v>3</v>
      </c>
      <c r="C33" t="s">
        <v>100</v>
      </c>
      <c r="D33">
        <v>100</v>
      </c>
      <c r="E33">
        <v>0</v>
      </c>
      <c r="F33" t="s">
        <v>105</v>
      </c>
    </row>
    <row r="34" spans="1:6" x14ac:dyDescent="0.3">
      <c r="A34" t="s">
        <v>39</v>
      </c>
      <c r="B34">
        <v>3</v>
      </c>
      <c r="C34" t="s">
        <v>102</v>
      </c>
      <c r="D34">
        <v>100</v>
      </c>
      <c r="E34">
        <v>0</v>
      </c>
      <c r="F34" t="s">
        <v>105</v>
      </c>
    </row>
    <row r="35" spans="1:6" x14ac:dyDescent="0.3">
      <c r="A35" t="s">
        <v>39</v>
      </c>
      <c r="B35">
        <v>4</v>
      </c>
      <c r="C35" t="s">
        <v>97</v>
      </c>
      <c r="D35">
        <v>96.64</v>
      </c>
      <c r="E35">
        <v>60</v>
      </c>
      <c r="F35" t="s">
        <v>107</v>
      </c>
    </row>
    <row r="36" spans="1:6" x14ac:dyDescent="0.3">
      <c r="A36" t="s">
        <v>39</v>
      </c>
      <c r="B36">
        <v>4</v>
      </c>
      <c r="C36" t="s">
        <v>100</v>
      </c>
      <c r="D36">
        <v>16.38</v>
      </c>
      <c r="E36">
        <v>80</v>
      </c>
      <c r="F36" t="s">
        <v>108</v>
      </c>
    </row>
    <row r="37" spans="1:6" x14ac:dyDescent="0.3">
      <c r="A37" t="s">
        <v>39</v>
      </c>
      <c r="B37">
        <v>4</v>
      </c>
      <c r="C37" t="s">
        <v>102</v>
      </c>
      <c r="D37">
        <v>95.57</v>
      </c>
      <c r="E37">
        <v>40</v>
      </c>
      <c r="F37" t="s">
        <v>107</v>
      </c>
    </row>
    <row r="38" spans="1:6" x14ac:dyDescent="0.3">
      <c r="A38" t="s">
        <v>41</v>
      </c>
      <c r="B38">
        <v>1</v>
      </c>
      <c r="C38" t="s">
        <v>97</v>
      </c>
      <c r="D38">
        <v>9.76</v>
      </c>
      <c r="E38">
        <v>10</v>
      </c>
      <c r="F38" t="s">
        <v>105</v>
      </c>
    </row>
    <row r="39" spans="1:6" x14ac:dyDescent="0.3">
      <c r="A39" t="s">
        <v>41</v>
      </c>
      <c r="B39">
        <v>1</v>
      </c>
      <c r="C39" t="s">
        <v>100</v>
      </c>
      <c r="D39">
        <v>16.79</v>
      </c>
      <c r="E39">
        <v>50</v>
      </c>
      <c r="F39" t="s">
        <v>105</v>
      </c>
    </row>
    <row r="40" spans="1:6" x14ac:dyDescent="0.3">
      <c r="A40" t="s">
        <v>41</v>
      </c>
      <c r="B40">
        <v>1</v>
      </c>
      <c r="C40" t="s">
        <v>102</v>
      </c>
      <c r="D40">
        <v>45.31</v>
      </c>
      <c r="E40">
        <v>60</v>
      </c>
      <c r="F40" t="s">
        <v>105</v>
      </c>
    </row>
    <row r="41" spans="1:6" x14ac:dyDescent="0.3">
      <c r="A41" t="s">
        <v>41</v>
      </c>
      <c r="B41">
        <v>2</v>
      </c>
      <c r="C41" t="s">
        <v>97</v>
      </c>
      <c r="D41" s="7">
        <v>47.5</v>
      </c>
      <c r="E41">
        <v>10</v>
      </c>
      <c r="F41" t="s">
        <v>107</v>
      </c>
    </row>
    <row r="42" spans="1:6" x14ac:dyDescent="0.3">
      <c r="A42" t="s">
        <v>41</v>
      </c>
      <c r="B42">
        <v>2</v>
      </c>
      <c r="C42" t="s">
        <v>100</v>
      </c>
      <c r="D42" s="7">
        <v>36.200000000000003</v>
      </c>
      <c r="E42">
        <v>90</v>
      </c>
      <c r="F42" t="s">
        <v>107</v>
      </c>
    </row>
    <row r="43" spans="1:6" x14ac:dyDescent="0.3">
      <c r="A43" t="s">
        <v>41</v>
      </c>
      <c r="B43">
        <v>2</v>
      </c>
      <c r="C43" t="s">
        <v>102</v>
      </c>
      <c r="D43">
        <v>46.32</v>
      </c>
      <c r="E43">
        <v>80</v>
      </c>
      <c r="F43" t="s">
        <v>107</v>
      </c>
    </row>
    <row r="44" spans="1:6" x14ac:dyDescent="0.3">
      <c r="A44" t="s">
        <v>41</v>
      </c>
      <c r="B44">
        <v>3</v>
      </c>
      <c r="C44" t="s">
        <v>97</v>
      </c>
      <c r="D44">
        <v>35.549999999999997</v>
      </c>
      <c r="E44">
        <v>10</v>
      </c>
      <c r="F44" t="s">
        <v>105</v>
      </c>
    </row>
    <row r="45" spans="1:6" x14ac:dyDescent="0.3">
      <c r="A45" t="s">
        <v>41</v>
      </c>
      <c r="B45">
        <v>3</v>
      </c>
      <c r="C45" t="s">
        <v>100</v>
      </c>
      <c r="D45">
        <v>70.38</v>
      </c>
      <c r="E45">
        <v>20</v>
      </c>
      <c r="F45" t="s">
        <v>105</v>
      </c>
    </row>
    <row r="46" spans="1:6" x14ac:dyDescent="0.3">
      <c r="A46" t="s">
        <v>41</v>
      </c>
      <c r="B46">
        <v>3</v>
      </c>
      <c r="C46" t="s">
        <v>102</v>
      </c>
      <c r="D46" s="7">
        <v>65.8</v>
      </c>
      <c r="E46">
        <v>10</v>
      </c>
      <c r="F46" t="s">
        <v>105</v>
      </c>
    </row>
    <row r="47" spans="1:6" x14ac:dyDescent="0.3">
      <c r="A47" t="s">
        <v>41</v>
      </c>
      <c r="B47">
        <v>4</v>
      </c>
      <c r="C47" t="s">
        <v>97</v>
      </c>
      <c r="D47">
        <v>33.49</v>
      </c>
      <c r="E47">
        <v>20</v>
      </c>
      <c r="F47" t="s">
        <v>107</v>
      </c>
    </row>
    <row r="48" spans="1:6" x14ac:dyDescent="0.3">
      <c r="A48" t="s">
        <v>41</v>
      </c>
      <c r="B48">
        <v>4</v>
      </c>
      <c r="C48" t="s">
        <v>100</v>
      </c>
      <c r="D48">
        <v>31.29</v>
      </c>
      <c r="E48">
        <v>10</v>
      </c>
      <c r="F48" t="s">
        <v>108</v>
      </c>
    </row>
    <row r="49" spans="1:6" x14ac:dyDescent="0.3">
      <c r="A49" t="s">
        <v>41</v>
      </c>
      <c r="B49">
        <v>4</v>
      </c>
      <c r="C49" t="s">
        <v>102</v>
      </c>
      <c r="D49">
        <v>31.84</v>
      </c>
      <c r="E49">
        <v>90</v>
      </c>
      <c r="F49" t="s">
        <v>107</v>
      </c>
    </row>
    <row r="50" spans="1:6" x14ac:dyDescent="0.3">
      <c r="A50" t="s">
        <v>42</v>
      </c>
      <c r="B50">
        <v>1</v>
      </c>
      <c r="C50" t="s">
        <v>97</v>
      </c>
      <c r="D50">
        <v>1.64</v>
      </c>
      <c r="E50">
        <v>80</v>
      </c>
      <c r="F50" t="s">
        <v>107</v>
      </c>
    </row>
    <row r="51" spans="1:6" x14ac:dyDescent="0.3">
      <c r="A51" t="s">
        <v>42</v>
      </c>
      <c r="B51">
        <v>1</v>
      </c>
      <c r="C51" t="s">
        <v>100</v>
      </c>
      <c r="D51">
        <v>12.31</v>
      </c>
      <c r="E51">
        <v>100</v>
      </c>
      <c r="F51" t="s">
        <v>108</v>
      </c>
    </row>
    <row r="52" spans="1:6" x14ac:dyDescent="0.3">
      <c r="A52" t="s">
        <v>42</v>
      </c>
      <c r="B52">
        <v>1</v>
      </c>
      <c r="C52" t="s">
        <v>102</v>
      </c>
      <c r="D52">
        <v>44.05</v>
      </c>
      <c r="E52">
        <v>70</v>
      </c>
      <c r="F52" t="s">
        <v>107</v>
      </c>
    </row>
    <row r="53" spans="1:6" x14ac:dyDescent="0.3">
      <c r="A53" t="s">
        <v>42</v>
      </c>
      <c r="B53">
        <v>2</v>
      </c>
      <c r="C53" t="s">
        <v>97</v>
      </c>
      <c r="D53">
        <v>33.11</v>
      </c>
      <c r="E53">
        <v>50</v>
      </c>
      <c r="F53" t="s">
        <v>105</v>
      </c>
    </row>
    <row r="54" spans="1:6" x14ac:dyDescent="0.3">
      <c r="A54" t="s">
        <v>42</v>
      </c>
      <c r="B54">
        <v>2</v>
      </c>
      <c r="C54" t="s">
        <v>100</v>
      </c>
      <c r="D54">
        <v>50.04</v>
      </c>
      <c r="E54">
        <v>50</v>
      </c>
      <c r="F54" t="s">
        <v>105</v>
      </c>
    </row>
    <row r="55" spans="1:6" x14ac:dyDescent="0.3">
      <c r="A55" t="s">
        <v>42</v>
      </c>
      <c r="B55">
        <v>2</v>
      </c>
      <c r="C55" t="s">
        <v>102</v>
      </c>
      <c r="D55">
        <v>47.23</v>
      </c>
      <c r="E55">
        <v>10</v>
      </c>
      <c r="F55" t="s">
        <v>105</v>
      </c>
    </row>
    <row r="56" spans="1:6" x14ac:dyDescent="0.3">
      <c r="A56" t="s">
        <v>42</v>
      </c>
      <c r="B56">
        <v>3</v>
      </c>
      <c r="C56" t="s">
        <v>97</v>
      </c>
      <c r="D56">
        <v>8.31</v>
      </c>
      <c r="E56">
        <v>80</v>
      </c>
      <c r="F56" t="s">
        <v>107</v>
      </c>
    </row>
    <row r="57" spans="1:6" x14ac:dyDescent="0.3">
      <c r="A57" t="s">
        <v>42</v>
      </c>
      <c r="B57">
        <v>3</v>
      </c>
      <c r="C57" t="s">
        <v>100</v>
      </c>
      <c r="D57">
        <v>60.32</v>
      </c>
      <c r="E57">
        <v>80</v>
      </c>
      <c r="F57" t="s">
        <v>107</v>
      </c>
    </row>
    <row r="58" spans="1:6" x14ac:dyDescent="0.3">
      <c r="A58" t="s">
        <v>42</v>
      </c>
      <c r="B58">
        <v>3</v>
      </c>
      <c r="C58" t="s">
        <v>102</v>
      </c>
      <c r="D58">
        <v>52.52</v>
      </c>
      <c r="E58">
        <v>70</v>
      </c>
      <c r="F58" t="s">
        <v>107</v>
      </c>
    </row>
    <row r="59" spans="1:6" x14ac:dyDescent="0.3">
      <c r="A59" t="s">
        <v>42</v>
      </c>
      <c r="B59">
        <v>4</v>
      </c>
      <c r="C59" t="s">
        <v>97</v>
      </c>
      <c r="D59">
        <v>3.84</v>
      </c>
      <c r="E59">
        <v>0</v>
      </c>
      <c r="F59" t="s">
        <v>105</v>
      </c>
    </row>
    <row r="60" spans="1:6" x14ac:dyDescent="0.3">
      <c r="A60" t="s">
        <v>42</v>
      </c>
      <c r="B60">
        <v>4</v>
      </c>
      <c r="C60" t="s">
        <v>100</v>
      </c>
      <c r="D60" s="7">
        <v>0</v>
      </c>
      <c r="E60">
        <v>40</v>
      </c>
      <c r="F60" t="s">
        <v>105</v>
      </c>
    </row>
    <row r="61" spans="1:6" x14ac:dyDescent="0.3">
      <c r="A61" t="s">
        <v>42</v>
      </c>
      <c r="B61">
        <v>4</v>
      </c>
      <c r="C61" t="s">
        <v>102</v>
      </c>
      <c r="D61">
        <v>5.38</v>
      </c>
      <c r="E61">
        <v>10</v>
      </c>
      <c r="F61" t="s">
        <v>105</v>
      </c>
    </row>
    <row r="62" spans="1:6" x14ac:dyDescent="0.3">
      <c r="A62" t="s">
        <v>43</v>
      </c>
      <c r="B62">
        <v>1</v>
      </c>
      <c r="C62" t="s">
        <v>97</v>
      </c>
      <c r="D62">
        <v>72.650000000000006</v>
      </c>
      <c r="E62">
        <v>80</v>
      </c>
      <c r="F62" t="s">
        <v>105</v>
      </c>
    </row>
    <row r="63" spans="1:6" x14ac:dyDescent="0.3">
      <c r="A63" t="s">
        <v>43</v>
      </c>
      <c r="B63">
        <v>1</v>
      </c>
      <c r="C63" t="s">
        <v>100</v>
      </c>
      <c r="D63">
        <v>44.33</v>
      </c>
      <c r="E63">
        <v>90</v>
      </c>
      <c r="F63" t="s">
        <v>105</v>
      </c>
    </row>
    <row r="64" spans="1:6" x14ac:dyDescent="0.3">
      <c r="A64" t="s">
        <v>43</v>
      </c>
      <c r="B64">
        <v>1</v>
      </c>
      <c r="C64" t="s">
        <v>102</v>
      </c>
      <c r="D64">
        <v>6.01</v>
      </c>
      <c r="E64">
        <v>5</v>
      </c>
      <c r="F64" t="s">
        <v>105</v>
      </c>
    </row>
    <row r="65" spans="1:6" x14ac:dyDescent="0.3">
      <c r="A65" t="s">
        <v>43</v>
      </c>
      <c r="B65">
        <v>2</v>
      </c>
      <c r="C65" t="s">
        <v>97</v>
      </c>
      <c r="D65">
        <v>67.59</v>
      </c>
      <c r="E65">
        <v>70</v>
      </c>
      <c r="F65" t="s">
        <v>107</v>
      </c>
    </row>
    <row r="66" spans="1:6" x14ac:dyDescent="0.3">
      <c r="A66" t="s">
        <v>43</v>
      </c>
      <c r="B66">
        <v>2</v>
      </c>
      <c r="C66" t="s">
        <v>100</v>
      </c>
      <c r="D66">
        <v>45.52</v>
      </c>
      <c r="E66">
        <v>60</v>
      </c>
      <c r="F66" t="s">
        <v>108</v>
      </c>
    </row>
    <row r="67" spans="1:6" x14ac:dyDescent="0.3">
      <c r="A67" t="s">
        <v>43</v>
      </c>
      <c r="B67">
        <v>2</v>
      </c>
      <c r="C67" t="s">
        <v>102</v>
      </c>
      <c r="D67">
        <v>24.5</v>
      </c>
      <c r="E67">
        <v>40</v>
      </c>
      <c r="F67" t="s">
        <v>107</v>
      </c>
    </row>
    <row r="68" spans="1:6" x14ac:dyDescent="0.3">
      <c r="A68" t="s">
        <v>43</v>
      </c>
      <c r="B68">
        <v>3</v>
      </c>
      <c r="C68" t="s">
        <v>97</v>
      </c>
      <c r="D68">
        <v>38.57</v>
      </c>
      <c r="E68">
        <v>60</v>
      </c>
      <c r="F68" t="s">
        <v>105</v>
      </c>
    </row>
    <row r="69" spans="1:6" x14ac:dyDescent="0.3">
      <c r="A69" t="s">
        <v>43</v>
      </c>
      <c r="B69">
        <v>3</v>
      </c>
      <c r="C69" t="s">
        <v>100</v>
      </c>
      <c r="D69">
        <v>28.51</v>
      </c>
      <c r="E69">
        <v>0</v>
      </c>
      <c r="F69" t="s">
        <v>105</v>
      </c>
    </row>
    <row r="70" spans="1:6" x14ac:dyDescent="0.3">
      <c r="A70" t="s">
        <v>43</v>
      </c>
      <c r="B70">
        <v>3</v>
      </c>
      <c r="C70" t="s">
        <v>102</v>
      </c>
      <c r="D70">
        <v>74.819999999999993</v>
      </c>
      <c r="E70">
        <v>0</v>
      </c>
      <c r="F70" t="s">
        <v>105</v>
      </c>
    </row>
    <row r="71" spans="1:6" x14ac:dyDescent="0.3">
      <c r="A71" t="s">
        <v>43</v>
      </c>
      <c r="B71">
        <v>4</v>
      </c>
      <c r="C71" t="s">
        <v>97</v>
      </c>
      <c r="D71">
        <v>69.14</v>
      </c>
      <c r="E71">
        <v>70</v>
      </c>
      <c r="F71" t="s">
        <v>107</v>
      </c>
    </row>
    <row r="72" spans="1:6" x14ac:dyDescent="0.3">
      <c r="A72" t="s">
        <v>43</v>
      </c>
      <c r="B72">
        <v>4</v>
      </c>
      <c r="C72" t="s">
        <v>100</v>
      </c>
      <c r="D72">
        <v>47.65</v>
      </c>
      <c r="E72">
        <v>80</v>
      </c>
      <c r="F72" t="s">
        <v>107</v>
      </c>
    </row>
    <row r="73" spans="1:6" x14ac:dyDescent="0.3">
      <c r="A73" t="s">
        <v>43</v>
      </c>
      <c r="B73">
        <v>4</v>
      </c>
      <c r="C73" t="s">
        <v>102</v>
      </c>
      <c r="D73">
        <v>27.42</v>
      </c>
      <c r="E73">
        <v>60</v>
      </c>
      <c r="F73" t="s">
        <v>107</v>
      </c>
    </row>
    <row r="74" spans="1:6" x14ac:dyDescent="0.3">
      <c r="A74" t="s">
        <v>44</v>
      </c>
      <c r="B74">
        <v>1</v>
      </c>
      <c r="C74" t="s">
        <v>97</v>
      </c>
      <c r="D74">
        <v>10.220000000000001</v>
      </c>
      <c r="E74">
        <v>0</v>
      </c>
      <c r="F74" t="s">
        <v>105</v>
      </c>
    </row>
    <row r="75" spans="1:6" x14ac:dyDescent="0.3">
      <c r="A75" t="s">
        <v>44</v>
      </c>
      <c r="B75">
        <v>1</v>
      </c>
      <c r="C75" t="s">
        <v>100</v>
      </c>
      <c r="D75" s="7">
        <v>0</v>
      </c>
      <c r="E75">
        <v>0</v>
      </c>
      <c r="F75" t="s">
        <v>105</v>
      </c>
    </row>
    <row r="76" spans="1:6" x14ac:dyDescent="0.3">
      <c r="A76" t="s">
        <v>44</v>
      </c>
      <c r="B76">
        <v>1</v>
      </c>
      <c r="C76" t="s">
        <v>102</v>
      </c>
      <c r="D76">
        <v>72.33</v>
      </c>
      <c r="E76">
        <v>10</v>
      </c>
      <c r="F76" t="s">
        <v>105</v>
      </c>
    </row>
    <row r="77" spans="1:6" x14ac:dyDescent="0.3">
      <c r="A77" t="s">
        <v>44</v>
      </c>
      <c r="B77">
        <v>2</v>
      </c>
      <c r="C77" t="s">
        <v>97</v>
      </c>
      <c r="D77" s="7">
        <v>1</v>
      </c>
      <c r="E77">
        <v>90</v>
      </c>
      <c r="F77" t="s">
        <v>107</v>
      </c>
    </row>
    <row r="78" spans="1:6" x14ac:dyDescent="0.3">
      <c r="A78" t="s">
        <v>44</v>
      </c>
      <c r="B78">
        <v>2</v>
      </c>
      <c r="C78" t="s">
        <v>100</v>
      </c>
      <c r="D78" s="7">
        <v>0</v>
      </c>
      <c r="E78">
        <v>80</v>
      </c>
      <c r="F78" t="s">
        <v>108</v>
      </c>
    </row>
    <row r="79" spans="1:6" x14ac:dyDescent="0.3">
      <c r="A79" t="s">
        <v>44</v>
      </c>
      <c r="B79">
        <v>2</v>
      </c>
      <c r="C79" t="s">
        <v>102</v>
      </c>
      <c r="D79">
        <v>4.1500000000000004</v>
      </c>
      <c r="E79">
        <v>50</v>
      </c>
      <c r="F79" t="s">
        <v>107</v>
      </c>
    </row>
    <row r="80" spans="1:6" x14ac:dyDescent="0.3">
      <c r="A80" t="s">
        <v>44</v>
      </c>
      <c r="B80">
        <v>3</v>
      </c>
      <c r="C80" t="s">
        <v>97</v>
      </c>
      <c r="D80">
        <v>0.01</v>
      </c>
      <c r="E80">
        <v>60</v>
      </c>
      <c r="F80" t="s">
        <v>105</v>
      </c>
    </row>
    <row r="81" spans="1:6" x14ac:dyDescent="0.3">
      <c r="A81" t="s">
        <v>44</v>
      </c>
      <c r="B81">
        <v>3</v>
      </c>
      <c r="C81" t="s">
        <v>100</v>
      </c>
      <c r="D81" s="7">
        <v>0</v>
      </c>
      <c r="E81">
        <v>80</v>
      </c>
      <c r="F81" t="s">
        <v>105</v>
      </c>
    </row>
    <row r="82" spans="1:6" x14ac:dyDescent="0.3">
      <c r="A82" t="s">
        <v>44</v>
      </c>
      <c r="B82">
        <v>3</v>
      </c>
      <c r="C82" t="s">
        <v>102</v>
      </c>
      <c r="D82">
        <v>6.51</v>
      </c>
      <c r="E82">
        <v>80</v>
      </c>
      <c r="F82" t="s">
        <v>105</v>
      </c>
    </row>
    <row r="83" spans="1:6" x14ac:dyDescent="0.3">
      <c r="A83" t="s">
        <v>44</v>
      </c>
      <c r="B83">
        <v>4</v>
      </c>
      <c r="C83" t="s">
        <v>97</v>
      </c>
      <c r="D83" s="7">
        <v>0</v>
      </c>
      <c r="E83">
        <v>90</v>
      </c>
      <c r="F83" t="s">
        <v>107</v>
      </c>
    </row>
    <row r="84" spans="1:6" x14ac:dyDescent="0.3">
      <c r="A84" t="s">
        <v>44</v>
      </c>
      <c r="B84">
        <v>4</v>
      </c>
      <c r="C84" t="s">
        <v>100</v>
      </c>
      <c r="D84">
        <v>5.0599999999999996</v>
      </c>
      <c r="E84">
        <v>40</v>
      </c>
      <c r="F84" t="s">
        <v>107</v>
      </c>
    </row>
    <row r="85" spans="1:6" x14ac:dyDescent="0.3">
      <c r="A85" t="s">
        <v>44</v>
      </c>
      <c r="B85">
        <v>4</v>
      </c>
      <c r="C85" t="s">
        <v>102</v>
      </c>
      <c r="D85">
        <v>80.260000000000005</v>
      </c>
      <c r="E85">
        <v>40</v>
      </c>
      <c r="F85" t="s">
        <v>107</v>
      </c>
    </row>
    <row r="86" spans="1:6" x14ac:dyDescent="0.3">
      <c r="A86" t="s">
        <v>45</v>
      </c>
      <c r="B86">
        <v>1</v>
      </c>
      <c r="C86" t="s">
        <v>97</v>
      </c>
      <c r="D86">
        <v>76.56</v>
      </c>
      <c r="E86">
        <v>40</v>
      </c>
      <c r="F86" t="s">
        <v>107</v>
      </c>
    </row>
    <row r="87" spans="1:6" x14ac:dyDescent="0.3">
      <c r="A87" t="s">
        <v>45</v>
      </c>
      <c r="B87">
        <v>1</v>
      </c>
      <c r="C87" t="s">
        <v>100</v>
      </c>
      <c r="D87">
        <v>67.760000000000005</v>
      </c>
      <c r="E87">
        <v>90</v>
      </c>
      <c r="F87" t="s">
        <v>107</v>
      </c>
    </row>
    <row r="88" spans="1:6" x14ac:dyDescent="0.3">
      <c r="A88" t="s">
        <v>45</v>
      </c>
      <c r="B88">
        <v>1</v>
      </c>
      <c r="C88" t="s">
        <v>102</v>
      </c>
      <c r="D88">
        <v>35.69</v>
      </c>
      <c r="E88">
        <v>70</v>
      </c>
      <c r="F88" t="s">
        <v>107</v>
      </c>
    </row>
    <row r="89" spans="1:6" x14ac:dyDescent="0.3">
      <c r="A89" t="s">
        <v>45</v>
      </c>
      <c r="B89">
        <v>2</v>
      </c>
      <c r="C89" t="s">
        <v>97</v>
      </c>
      <c r="D89">
        <v>44.89</v>
      </c>
      <c r="E89">
        <v>10</v>
      </c>
      <c r="F89" t="s">
        <v>105</v>
      </c>
    </row>
    <row r="90" spans="1:6" x14ac:dyDescent="0.3">
      <c r="A90" t="s">
        <v>45</v>
      </c>
      <c r="B90">
        <v>2</v>
      </c>
      <c r="C90" t="s">
        <v>100</v>
      </c>
      <c r="D90">
        <v>10.08</v>
      </c>
      <c r="E90">
        <v>40</v>
      </c>
      <c r="F90" t="s">
        <v>105</v>
      </c>
    </row>
    <row r="91" spans="1:6" x14ac:dyDescent="0.3">
      <c r="A91" t="s">
        <v>45</v>
      </c>
      <c r="B91">
        <v>2</v>
      </c>
      <c r="C91" t="s">
        <v>102</v>
      </c>
      <c r="D91">
        <v>34.869999999999997</v>
      </c>
      <c r="E91">
        <v>20</v>
      </c>
      <c r="F91" t="s">
        <v>105</v>
      </c>
    </row>
    <row r="92" spans="1:6" x14ac:dyDescent="0.3">
      <c r="A92" t="s">
        <v>45</v>
      </c>
      <c r="B92">
        <v>3</v>
      </c>
      <c r="C92" t="s">
        <v>97</v>
      </c>
      <c r="D92" s="7">
        <v>1.7</v>
      </c>
      <c r="E92">
        <v>5</v>
      </c>
      <c r="F92" t="s">
        <v>107</v>
      </c>
    </row>
    <row r="93" spans="1:6" x14ac:dyDescent="0.3">
      <c r="A93" t="s">
        <v>45</v>
      </c>
      <c r="B93">
        <v>3</v>
      </c>
      <c r="C93" t="s">
        <v>100</v>
      </c>
      <c r="D93">
        <v>4.3499999999999996</v>
      </c>
      <c r="E93">
        <v>80</v>
      </c>
      <c r="F93" t="s">
        <v>108</v>
      </c>
    </row>
    <row r="94" spans="1:6" x14ac:dyDescent="0.3">
      <c r="A94" t="s">
        <v>45</v>
      </c>
      <c r="B94">
        <v>3</v>
      </c>
      <c r="C94" t="s">
        <v>102</v>
      </c>
      <c r="D94">
        <v>17.41</v>
      </c>
      <c r="E94">
        <v>10</v>
      </c>
      <c r="F94" t="s">
        <v>107</v>
      </c>
    </row>
    <row r="95" spans="1:6" x14ac:dyDescent="0.3">
      <c r="A95" t="s">
        <v>45</v>
      </c>
      <c r="B95">
        <v>4</v>
      </c>
      <c r="C95" t="s">
        <v>97</v>
      </c>
      <c r="D95">
        <v>14.42</v>
      </c>
      <c r="E95">
        <v>10</v>
      </c>
      <c r="F95" t="s">
        <v>105</v>
      </c>
    </row>
    <row r="96" spans="1:6" x14ac:dyDescent="0.3">
      <c r="A96" t="s">
        <v>45</v>
      </c>
      <c r="B96">
        <v>4</v>
      </c>
      <c r="C96" t="s">
        <v>100</v>
      </c>
      <c r="D96" s="7">
        <v>0</v>
      </c>
      <c r="E96">
        <v>0</v>
      </c>
      <c r="F96" t="s">
        <v>105</v>
      </c>
    </row>
    <row r="97" spans="1:6" x14ac:dyDescent="0.3">
      <c r="A97" t="s">
        <v>45</v>
      </c>
      <c r="B97">
        <v>4</v>
      </c>
      <c r="C97" t="s">
        <v>102</v>
      </c>
      <c r="D97">
        <v>1.49</v>
      </c>
      <c r="E97">
        <v>0</v>
      </c>
      <c r="F97" t="s">
        <v>105</v>
      </c>
    </row>
    <row r="98" spans="1:6" x14ac:dyDescent="0.3">
      <c r="A98" t="s">
        <v>47</v>
      </c>
      <c r="B98">
        <v>1</v>
      </c>
      <c r="C98" t="s">
        <v>97</v>
      </c>
      <c r="D98" s="7">
        <v>41.7</v>
      </c>
      <c r="E98">
        <v>80</v>
      </c>
      <c r="F98" t="s">
        <v>107</v>
      </c>
    </row>
    <row r="99" spans="1:6" x14ac:dyDescent="0.3">
      <c r="A99" t="s">
        <v>47</v>
      </c>
      <c r="B99">
        <v>1</v>
      </c>
      <c r="C99" t="s">
        <v>100</v>
      </c>
      <c r="D99">
        <v>9.15</v>
      </c>
      <c r="E99">
        <v>0</v>
      </c>
      <c r="F99" t="s">
        <v>107</v>
      </c>
    </row>
    <row r="100" spans="1:6" x14ac:dyDescent="0.3">
      <c r="A100" t="s">
        <v>47</v>
      </c>
      <c r="B100">
        <v>1</v>
      </c>
      <c r="C100" t="s">
        <v>102</v>
      </c>
      <c r="D100">
        <v>64.66</v>
      </c>
      <c r="E100">
        <v>10</v>
      </c>
      <c r="F100" t="s">
        <v>107</v>
      </c>
    </row>
    <row r="101" spans="1:6" x14ac:dyDescent="0.3">
      <c r="A101" t="s">
        <v>47</v>
      </c>
      <c r="B101">
        <v>2</v>
      </c>
      <c r="C101" t="s">
        <v>97</v>
      </c>
      <c r="D101">
        <v>79.59</v>
      </c>
      <c r="E101">
        <v>0</v>
      </c>
      <c r="F101" t="s">
        <v>105</v>
      </c>
    </row>
    <row r="102" spans="1:6" x14ac:dyDescent="0.3">
      <c r="A102" t="s">
        <v>47</v>
      </c>
      <c r="B102">
        <v>2</v>
      </c>
      <c r="C102" t="s">
        <v>100</v>
      </c>
      <c r="D102">
        <v>71.510000000000005</v>
      </c>
      <c r="E102">
        <v>30</v>
      </c>
      <c r="F102" t="s">
        <v>105</v>
      </c>
    </row>
    <row r="103" spans="1:6" x14ac:dyDescent="0.3">
      <c r="A103" t="s">
        <v>47</v>
      </c>
      <c r="B103">
        <v>2</v>
      </c>
      <c r="C103" t="s">
        <v>102</v>
      </c>
      <c r="D103">
        <v>76.23</v>
      </c>
      <c r="E103">
        <v>0</v>
      </c>
      <c r="F103" t="s">
        <v>105</v>
      </c>
    </row>
    <row r="104" spans="1:6" x14ac:dyDescent="0.3">
      <c r="A104" t="s">
        <v>47</v>
      </c>
      <c r="B104">
        <v>3</v>
      </c>
      <c r="C104" t="s">
        <v>97</v>
      </c>
      <c r="D104">
        <v>50.16</v>
      </c>
      <c r="E104">
        <v>30</v>
      </c>
      <c r="F104" t="s">
        <v>107</v>
      </c>
    </row>
    <row r="105" spans="1:6" x14ac:dyDescent="0.3">
      <c r="A105" t="s">
        <v>47</v>
      </c>
      <c r="B105">
        <v>3</v>
      </c>
      <c r="C105" t="s">
        <v>100</v>
      </c>
      <c r="D105">
        <v>24.37</v>
      </c>
      <c r="E105">
        <v>80</v>
      </c>
      <c r="F105" t="s">
        <v>108</v>
      </c>
    </row>
    <row r="106" spans="1:6" x14ac:dyDescent="0.3">
      <c r="A106" t="s">
        <v>47</v>
      </c>
      <c r="B106">
        <v>3</v>
      </c>
      <c r="C106" t="s">
        <v>102</v>
      </c>
      <c r="D106">
        <v>74.75</v>
      </c>
      <c r="E106">
        <v>20</v>
      </c>
      <c r="F106" t="s">
        <v>107</v>
      </c>
    </row>
    <row r="107" spans="1:6" x14ac:dyDescent="0.3">
      <c r="A107" t="s">
        <v>47</v>
      </c>
      <c r="B107">
        <v>4</v>
      </c>
      <c r="C107" t="s">
        <v>97</v>
      </c>
      <c r="D107">
        <v>51.74</v>
      </c>
      <c r="E107">
        <v>10</v>
      </c>
      <c r="F107" t="s">
        <v>105</v>
      </c>
    </row>
    <row r="108" spans="1:6" x14ac:dyDescent="0.3">
      <c r="A108" t="s">
        <v>47</v>
      </c>
      <c r="B108">
        <v>4</v>
      </c>
      <c r="C108" t="s">
        <v>100</v>
      </c>
      <c r="D108">
        <v>28.68</v>
      </c>
      <c r="E108">
        <v>80</v>
      </c>
      <c r="F108" t="s">
        <v>105</v>
      </c>
    </row>
    <row r="109" spans="1:6" x14ac:dyDescent="0.3">
      <c r="A109" t="s">
        <v>47</v>
      </c>
      <c r="B109">
        <v>4</v>
      </c>
      <c r="C109" t="s">
        <v>102</v>
      </c>
      <c r="D109" s="7">
        <v>77.7</v>
      </c>
      <c r="E109">
        <v>5</v>
      </c>
      <c r="F109" t="s">
        <v>105</v>
      </c>
    </row>
    <row r="110" spans="1:6" x14ac:dyDescent="0.3">
      <c r="A110" t="s">
        <v>48</v>
      </c>
      <c r="B110">
        <v>1</v>
      </c>
      <c r="C110" t="s">
        <v>97</v>
      </c>
      <c r="D110">
        <v>30.96</v>
      </c>
      <c r="E110" t="s">
        <v>106</v>
      </c>
      <c r="F110" t="s">
        <v>105</v>
      </c>
    </row>
    <row r="111" spans="1:6" x14ac:dyDescent="0.3">
      <c r="A111" t="s">
        <v>48</v>
      </c>
      <c r="B111">
        <v>1</v>
      </c>
      <c r="C111" t="s">
        <v>100</v>
      </c>
      <c r="D111">
        <v>54.59</v>
      </c>
      <c r="E111">
        <v>50</v>
      </c>
      <c r="F111" t="s">
        <v>105</v>
      </c>
    </row>
    <row r="112" spans="1:6" x14ac:dyDescent="0.3">
      <c r="A112" t="s">
        <v>48</v>
      </c>
      <c r="B112">
        <v>1</v>
      </c>
      <c r="C112" t="s">
        <v>102</v>
      </c>
      <c r="D112">
        <v>71.98</v>
      </c>
      <c r="E112">
        <v>0</v>
      </c>
      <c r="F112" t="s">
        <v>105</v>
      </c>
    </row>
    <row r="113" spans="1:6" x14ac:dyDescent="0.3">
      <c r="A113" t="s">
        <v>48</v>
      </c>
      <c r="B113">
        <v>2</v>
      </c>
      <c r="C113" t="s">
        <v>97</v>
      </c>
      <c r="D113">
        <v>90.96</v>
      </c>
      <c r="E113">
        <v>60</v>
      </c>
      <c r="F113" t="s">
        <v>107</v>
      </c>
    </row>
    <row r="114" spans="1:6" x14ac:dyDescent="0.3">
      <c r="A114" t="s">
        <v>48</v>
      </c>
      <c r="B114">
        <v>2</v>
      </c>
      <c r="C114" t="s">
        <v>100</v>
      </c>
      <c r="D114">
        <v>47.12</v>
      </c>
      <c r="E114">
        <v>90</v>
      </c>
      <c r="F114" t="s">
        <v>107</v>
      </c>
    </row>
    <row r="115" spans="1:6" x14ac:dyDescent="0.3">
      <c r="A115" t="s">
        <v>48</v>
      </c>
      <c r="B115">
        <v>2</v>
      </c>
      <c r="C115" t="s">
        <v>102</v>
      </c>
      <c r="D115">
        <v>73.040000000000006</v>
      </c>
      <c r="E115">
        <v>0</v>
      </c>
      <c r="F115" t="s">
        <v>107</v>
      </c>
    </row>
    <row r="116" spans="1:6" x14ac:dyDescent="0.3">
      <c r="A116" t="s">
        <v>48</v>
      </c>
      <c r="B116">
        <v>3</v>
      </c>
      <c r="C116" t="s">
        <v>97</v>
      </c>
      <c r="D116">
        <v>83.39</v>
      </c>
      <c r="E116">
        <v>70</v>
      </c>
      <c r="F116" t="s">
        <v>105</v>
      </c>
    </row>
    <row r="117" spans="1:6" x14ac:dyDescent="0.3">
      <c r="A117" t="s">
        <v>48</v>
      </c>
      <c r="B117">
        <v>3</v>
      </c>
      <c r="C117" t="s">
        <v>100</v>
      </c>
      <c r="D117">
        <v>61.03</v>
      </c>
      <c r="E117">
        <v>0</v>
      </c>
      <c r="F117" t="s">
        <v>105</v>
      </c>
    </row>
    <row r="118" spans="1:6" x14ac:dyDescent="0.3">
      <c r="A118" t="s">
        <v>48</v>
      </c>
      <c r="B118">
        <v>3</v>
      </c>
      <c r="C118" t="s">
        <v>102</v>
      </c>
      <c r="D118" s="7">
        <v>51.9</v>
      </c>
      <c r="E118">
        <v>0</v>
      </c>
      <c r="F118" t="s">
        <v>105</v>
      </c>
    </row>
    <row r="119" spans="1:6" x14ac:dyDescent="0.3">
      <c r="A119" t="s">
        <v>48</v>
      </c>
      <c r="B119">
        <v>4</v>
      </c>
      <c r="C119" t="s">
        <v>97</v>
      </c>
      <c r="D119">
        <v>71.13</v>
      </c>
      <c r="E119">
        <v>60</v>
      </c>
      <c r="F119" t="s">
        <v>107</v>
      </c>
    </row>
    <row r="120" spans="1:6" x14ac:dyDescent="0.3">
      <c r="A120" t="s">
        <v>48</v>
      </c>
      <c r="B120">
        <v>4</v>
      </c>
      <c r="C120" t="s">
        <v>100</v>
      </c>
      <c r="D120">
        <v>53.48</v>
      </c>
      <c r="E120">
        <v>30</v>
      </c>
      <c r="F120" t="s">
        <v>108</v>
      </c>
    </row>
    <row r="121" spans="1:6" x14ac:dyDescent="0.3">
      <c r="A121" t="s">
        <v>48</v>
      </c>
      <c r="B121">
        <v>4</v>
      </c>
      <c r="C121" t="s">
        <v>102</v>
      </c>
      <c r="D121">
        <v>90.85</v>
      </c>
      <c r="E121">
        <v>20</v>
      </c>
      <c r="F121" t="s">
        <v>107</v>
      </c>
    </row>
    <row r="122" spans="1:6" x14ac:dyDescent="0.3">
      <c r="A122" t="s">
        <v>49</v>
      </c>
      <c r="B122">
        <v>1</v>
      </c>
      <c r="C122" t="s">
        <v>97</v>
      </c>
      <c r="D122">
        <v>77.38</v>
      </c>
      <c r="E122">
        <v>40</v>
      </c>
      <c r="F122" t="s">
        <v>105</v>
      </c>
    </row>
    <row r="123" spans="1:6" x14ac:dyDescent="0.3">
      <c r="A123" t="s">
        <v>49</v>
      </c>
      <c r="B123">
        <v>1</v>
      </c>
      <c r="C123" t="s">
        <v>100</v>
      </c>
      <c r="D123">
        <v>64.290000000000006</v>
      </c>
      <c r="E123">
        <v>50</v>
      </c>
      <c r="F123" t="s">
        <v>105</v>
      </c>
    </row>
    <row r="124" spans="1:6" x14ac:dyDescent="0.3">
      <c r="A124" t="s">
        <v>49</v>
      </c>
      <c r="B124">
        <v>1</v>
      </c>
      <c r="C124" t="s">
        <v>102</v>
      </c>
      <c r="D124">
        <v>67.89</v>
      </c>
      <c r="E124">
        <v>20</v>
      </c>
      <c r="F124" t="s">
        <v>105</v>
      </c>
    </row>
    <row r="125" spans="1:6" x14ac:dyDescent="0.3">
      <c r="A125" t="s">
        <v>49</v>
      </c>
      <c r="B125">
        <v>2</v>
      </c>
      <c r="C125" t="s">
        <v>97</v>
      </c>
      <c r="D125">
        <v>68.959999999999994</v>
      </c>
      <c r="E125">
        <v>0</v>
      </c>
      <c r="F125" t="s">
        <v>107</v>
      </c>
    </row>
    <row r="126" spans="1:6" x14ac:dyDescent="0.3">
      <c r="A126" t="s">
        <v>49</v>
      </c>
      <c r="B126">
        <v>2</v>
      </c>
      <c r="C126" t="s">
        <v>100</v>
      </c>
      <c r="D126">
        <v>61.24</v>
      </c>
      <c r="E126">
        <v>70</v>
      </c>
      <c r="F126" t="s">
        <v>107</v>
      </c>
    </row>
    <row r="127" spans="1:6" x14ac:dyDescent="0.3">
      <c r="A127" t="s">
        <v>49</v>
      </c>
      <c r="B127">
        <v>2</v>
      </c>
      <c r="C127" t="s">
        <v>102</v>
      </c>
      <c r="D127">
        <v>52.26</v>
      </c>
      <c r="E127">
        <v>0</v>
      </c>
      <c r="F127" t="s">
        <v>107</v>
      </c>
    </row>
    <row r="128" spans="1:6" x14ac:dyDescent="0.3">
      <c r="A128" t="s">
        <v>49</v>
      </c>
      <c r="B128">
        <v>3</v>
      </c>
      <c r="C128" t="s">
        <v>97</v>
      </c>
      <c r="D128">
        <v>63.78</v>
      </c>
      <c r="E128">
        <v>20</v>
      </c>
      <c r="F128" t="s">
        <v>105</v>
      </c>
    </row>
    <row r="129" spans="1:6" x14ac:dyDescent="0.3">
      <c r="A129" t="s">
        <v>49</v>
      </c>
      <c r="B129">
        <v>3</v>
      </c>
      <c r="C129" t="s">
        <v>100</v>
      </c>
      <c r="D129">
        <v>66.77</v>
      </c>
      <c r="E129">
        <v>60</v>
      </c>
      <c r="F129" t="s">
        <v>105</v>
      </c>
    </row>
    <row r="130" spans="1:6" x14ac:dyDescent="0.3">
      <c r="A130" t="s">
        <v>49</v>
      </c>
      <c r="B130">
        <v>3</v>
      </c>
      <c r="C130" t="s">
        <v>102</v>
      </c>
      <c r="D130">
        <v>75.180000000000007</v>
      </c>
      <c r="E130">
        <v>0</v>
      </c>
      <c r="F130" t="s">
        <v>105</v>
      </c>
    </row>
    <row r="131" spans="1:6" x14ac:dyDescent="0.3">
      <c r="A131" t="s">
        <v>49</v>
      </c>
      <c r="B131">
        <v>4</v>
      </c>
      <c r="C131" t="s">
        <v>97</v>
      </c>
      <c r="D131" s="7">
        <v>78.400000000000006</v>
      </c>
      <c r="E131">
        <v>60</v>
      </c>
      <c r="F131" t="s">
        <v>107</v>
      </c>
    </row>
    <row r="132" spans="1:6" x14ac:dyDescent="0.3">
      <c r="A132" t="s">
        <v>49</v>
      </c>
      <c r="B132">
        <v>4</v>
      </c>
      <c r="C132" t="s">
        <v>100</v>
      </c>
      <c r="D132">
        <v>81.42</v>
      </c>
      <c r="E132">
        <v>80</v>
      </c>
      <c r="F132" t="s">
        <v>108</v>
      </c>
    </row>
    <row r="133" spans="1:6" x14ac:dyDescent="0.3">
      <c r="A133" t="s">
        <v>49</v>
      </c>
      <c r="B133">
        <v>4</v>
      </c>
      <c r="C133" t="s">
        <v>102</v>
      </c>
      <c r="D133">
        <v>68.540000000000006</v>
      </c>
      <c r="E133">
        <v>70</v>
      </c>
      <c r="F133" t="s">
        <v>107</v>
      </c>
    </row>
    <row r="134" spans="1:6" x14ac:dyDescent="0.3">
      <c r="A134" t="s">
        <v>50</v>
      </c>
      <c r="B134">
        <v>1</v>
      </c>
      <c r="C134" t="s">
        <v>97</v>
      </c>
      <c r="D134">
        <v>90.87</v>
      </c>
      <c r="E134">
        <v>10</v>
      </c>
      <c r="F134" t="s">
        <v>107</v>
      </c>
    </row>
    <row r="135" spans="1:6" x14ac:dyDescent="0.3">
      <c r="A135" t="s">
        <v>50</v>
      </c>
      <c r="B135">
        <v>1</v>
      </c>
      <c r="C135" t="s">
        <v>100</v>
      </c>
      <c r="D135" s="7">
        <v>91.7</v>
      </c>
      <c r="E135">
        <v>50</v>
      </c>
      <c r="F135" t="s">
        <v>108</v>
      </c>
    </row>
    <row r="136" spans="1:6" x14ac:dyDescent="0.3">
      <c r="A136" t="s">
        <v>50</v>
      </c>
      <c r="B136">
        <v>1</v>
      </c>
      <c r="C136" t="s">
        <v>102</v>
      </c>
      <c r="D136">
        <v>89.92</v>
      </c>
      <c r="E136">
        <v>20</v>
      </c>
      <c r="F136" t="s">
        <v>107</v>
      </c>
    </row>
    <row r="137" spans="1:6" x14ac:dyDescent="0.3">
      <c r="A137" t="s">
        <v>50</v>
      </c>
      <c r="B137">
        <v>2</v>
      </c>
      <c r="C137" t="s">
        <v>97</v>
      </c>
      <c r="D137">
        <v>73.849999999999994</v>
      </c>
      <c r="E137">
        <v>20</v>
      </c>
      <c r="F137" t="s">
        <v>105</v>
      </c>
    </row>
    <row r="138" spans="1:6" x14ac:dyDescent="0.3">
      <c r="A138" t="s">
        <v>50</v>
      </c>
      <c r="B138">
        <v>2</v>
      </c>
      <c r="C138" t="s">
        <v>100</v>
      </c>
      <c r="D138">
        <v>80.19</v>
      </c>
      <c r="E138">
        <v>10</v>
      </c>
      <c r="F138" t="s">
        <v>105</v>
      </c>
    </row>
    <row r="139" spans="1:6" x14ac:dyDescent="0.3">
      <c r="A139" t="s">
        <v>50</v>
      </c>
      <c r="B139">
        <v>2</v>
      </c>
      <c r="C139" t="s">
        <v>102</v>
      </c>
      <c r="D139">
        <v>75.959999999999994</v>
      </c>
      <c r="E139">
        <v>0</v>
      </c>
      <c r="F139" t="s">
        <v>105</v>
      </c>
    </row>
    <row r="140" spans="1:6" x14ac:dyDescent="0.3">
      <c r="A140" t="s">
        <v>50</v>
      </c>
      <c r="B140">
        <v>3</v>
      </c>
      <c r="C140" t="s">
        <v>97</v>
      </c>
      <c r="D140">
        <v>53.33</v>
      </c>
      <c r="E140">
        <v>70</v>
      </c>
      <c r="F140" t="s">
        <v>107</v>
      </c>
    </row>
    <row r="141" spans="1:6" x14ac:dyDescent="0.3">
      <c r="A141" t="s">
        <v>50</v>
      </c>
      <c r="B141">
        <v>3</v>
      </c>
      <c r="C141" t="s">
        <v>100</v>
      </c>
      <c r="D141">
        <v>58.21</v>
      </c>
      <c r="E141">
        <v>60</v>
      </c>
      <c r="F141" t="s">
        <v>107</v>
      </c>
    </row>
    <row r="142" spans="1:6" x14ac:dyDescent="0.3">
      <c r="A142" t="s">
        <v>50</v>
      </c>
      <c r="B142">
        <v>3</v>
      </c>
      <c r="C142" t="s">
        <v>102</v>
      </c>
      <c r="D142">
        <v>70.430000000000007</v>
      </c>
      <c r="E142">
        <v>30</v>
      </c>
      <c r="F142" t="s">
        <v>107</v>
      </c>
    </row>
    <row r="143" spans="1:6" x14ac:dyDescent="0.3">
      <c r="A143" t="s">
        <v>50</v>
      </c>
      <c r="B143">
        <v>4</v>
      </c>
      <c r="C143" t="s">
        <v>97</v>
      </c>
      <c r="D143">
        <v>93.61</v>
      </c>
      <c r="E143">
        <v>0</v>
      </c>
      <c r="F143" t="s">
        <v>105</v>
      </c>
    </row>
    <row r="144" spans="1:6" x14ac:dyDescent="0.3">
      <c r="A144" t="s">
        <v>50</v>
      </c>
      <c r="B144">
        <v>4</v>
      </c>
      <c r="C144" t="s">
        <v>100</v>
      </c>
      <c r="D144">
        <v>83.86</v>
      </c>
      <c r="E144">
        <v>40</v>
      </c>
      <c r="F144" t="s">
        <v>105</v>
      </c>
    </row>
    <row r="145" spans="1:6" x14ac:dyDescent="0.3">
      <c r="A145" t="s">
        <v>50</v>
      </c>
      <c r="B145">
        <v>4</v>
      </c>
      <c r="C145" t="s">
        <v>102</v>
      </c>
      <c r="D145">
        <v>88.52</v>
      </c>
      <c r="E145">
        <v>30</v>
      </c>
      <c r="F145" t="s">
        <v>105</v>
      </c>
    </row>
    <row r="146" spans="1:6" x14ac:dyDescent="0.3">
      <c r="A146" t="s">
        <v>51</v>
      </c>
      <c r="B146">
        <v>1</v>
      </c>
      <c r="C146" t="s">
        <v>97</v>
      </c>
      <c r="D146">
        <v>28.72</v>
      </c>
      <c r="E146">
        <v>0</v>
      </c>
      <c r="F146" t="s">
        <v>105</v>
      </c>
    </row>
    <row r="147" spans="1:6" x14ac:dyDescent="0.3">
      <c r="A147" t="s">
        <v>51</v>
      </c>
      <c r="B147">
        <v>1</v>
      </c>
      <c r="C147" t="s">
        <v>100</v>
      </c>
      <c r="D147">
        <v>2.57</v>
      </c>
      <c r="E147">
        <v>90</v>
      </c>
      <c r="F147" t="s">
        <v>105</v>
      </c>
    </row>
    <row r="148" spans="1:6" x14ac:dyDescent="0.3">
      <c r="A148" t="s">
        <v>51</v>
      </c>
      <c r="B148">
        <v>1</v>
      </c>
      <c r="C148" t="s">
        <v>102</v>
      </c>
      <c r="D148">
        <v>1.08</v>
      </c>
      <c r="E148">
        <v>0</v>
      </c>
      <c r="F148" t="s">
        <v>105</v>
      </c>
    </row>
    <row r="149" spans="1:6" x14ac:dyDescent="0.3">
      <c r="A149" t="s">
        <v>51</v>
      </c>
      <c r="B149">
        <v>2</v>
      </c>
      <c r="C149" t="s">
        <v>97</v>
      </c>
      <c r="D149">
        <v>13.78</v>
      </c>
      <c r="E149">
        <v>20</v>
      </c>
      <c r="F149" t="s">
        <v>107</v>
      </c>
    </row>
    <row r="150" spans="1:6" x14ac:dyDescent="0.3">
      <c r="A150" t="s">
        <v>51</v>
      </c>
      <c r="B150">
        <v>2</v>
      </c>
      <c r="C150" t="s">
        <v>100</v>
      </c>
      <c r="D150">
        <v>0</v>
      </c>
      <c r="E150">
        <v>80</v>
      </c>
      <c r="F150" t="s">
        <v>107</v>
      </c>
    </row>
    <row r="151" spans="1:6" x14ac:dyDescent="0.3">
      <c r="A151" t="s">
        <v>51</v>
      </c>
      <c r="B151">
        <v>2</v>
      </c>
      <c r="C151" t="s">
        <v>102</v>
      </c>
      <c r="D151">
        <v>6.49</v>
      </c>
      <c r="E151">
        <v>20</v>
      </c>
      <c r="F151" t="s">
        <v>107</v>
      </c>
    </row>
    <row r="152" spans="1:6" x14ac:dyDescent="0.3">
      <c r="A152" t="s">
        <v>51</v>
      </c>
      <c r="B152">
        <v>3</v>
      </c>
      <c r="C152" t="s">
        <v>97</v>
      </c>
      <c r="D152">
        <v>25.23</v>
      </c>
      <c r="E152">
        <v>60</v>
      </c>
      <c r="F152" t="s">
        <v>105</v>
      </c>
    </row>
    <row r="153" spans="1:6" x14ac:dyDescent="0.3">
      <c r="A153" t="s">
        <v>51</v>
      </c>
      <c r="B153">
        <v>3</v>
      </c>
      <c r="C153" t="s">
        <v>100</v>
      </c>
      <c r="D153">
        <v>0.11</v>
      </c>
      <c r="E153">
        <v>30</v>
      </c>
      <c r="F153" t="s">
        <v>105</v>
      </c>
    </row>
    <row r="154" spans="1:6" x14ac:dyDescent="0.3">
      <c r="A154" t="s">
        <v>51</v>
      </c>
      <c r="B154">
        <v>3</v>
      </c>
      <c r="C154" t="s">
        <v>102</v>
      </c>
      <c r="D154">
        <v>43.62</v>
      </c>
      <c r="E154">
        <v>0</v>
      </c>
      <c r="F154" t="s">
        <v>105</v>
      </c>
    </row>
    <row r="155" spans="1:6" x14ac:dyDescent="0.3">
      <c r="A155" t="s">
        <v>51</v>
      </c>
      <c r="B155">
        <v>4</v>
      </c>
      <c r="C155" t="s">
        <v>97</v>
      </c>
      <c r="D155">
        <v>27.2</v>
      </c>
      <c r="E155">
        <v>20</v>
      </c>
      <c r="F155" t="s">
        <v>107</v>
      </c>
    </row>
    <row r="156" spans="1:6" x14ac:dyDescent="0.3">
      <c r="A156" t="s">
        <v>51</v>
      </c>
      <c r="B156">
        <v>4</v>
      </c>
      <c r="C156" t="s">
        <v>100</v>
      </c>
      <c r="D156">
        <v>1.59</v>
      </c>
      <c r="E156">
        <v>70</v>
      </c>
      <c r="F156" t="s">
        <v>107</v>
      </c>
    </row>
    <row r="157" spans="1:6" x14ac:dyDescent="0.3">
      <c r="A157" t="s">
        <v>51</v>
      </c>
      <c r="B157">
        <v>4</v>
      </c>
      <c r="C157" t="s">
        <v>102</v>
      </c>
      <c r="D157">
        <v>14.77</v>
      </c>
      <c r="E157">
        <v>10</v>
      </c>
      <c r="F157" t="s">
        <v>107</v>
      </c>
    </row>
    <row r="158" spans="1:6" x14ac:dyDescent="0.3">
      <c r="A158" t="s">
        <v>52</v>
      </c>
      <c r="B158">
        <v>1</v>
      </c>
      <c r="C158" t="s">
        <v>97</v>
      </c>
      <c r="D158">
        <v>74.09</v>
      </c>
      <c r="E158">
        <v>0</v>
      </c>
      <c r="F158" t="s">
        <v>107</v>
      </c>
    </row>
    <row r="159" spans="1:6" x14ac:dyDescent="0.3">
      <c r="A159" t="s">
        <v>52</v>
      </c>
      <c r="B159">
        <v>1</v>
      </c>
      <c r="C159" t="s">
        <v>100</v>
      </c>
      <c r="D159">
        <v>55.31</v>
      </c>
      <c r="E159">
        <v>70</v>
      </c>
      <c r="F159" t="s">
        <v>107</v>
      </c>
    </row>
    <row r="160" spans="1:6" x14ac:dyDescent="0.3">
      <c r="A160" t="s">
        <v>52</v>
      </c>
      <c r="B160">
        <v>1</v>
      </c>
      <c r="C160" t="s">
        <v>102</v>
      </c>
      <c r="D160">
        <v>75.5</v>
      </c>
      <c r="E160">
        <v>50</v>
      </c>
      <c r="F160" t="s">
        <v>107</v>
      </c>
    </row>
    <row r="161" spans="1:6" x14ac:dyDescent="0.3">
      <c r="A161" t="s">
        <v>52</v>
      </c>
      <c r="B161">
        <v>2</v>
      </c>
      <c r="C161" t="s">
        <v>97</v>
      </c>
      <c r="D161">
        <v>53.89</v>
      </c>
      <c r="E161">
        <v>0</v>
      </c>
      <c r="F161" t="s">
        <v>109</v>
      </c>
    </row>
    <row r="162" spans="1:6" x14ac:dyDescent="0.3">
      <c r="A162" t="s">
        <v>52</v>
      </c>
      <c r="B162">
        <v>2</v>
      </c>
      <c r="C162" t="s">
        <v>100</v>
      </c>
      <c r="D162">
        <v>16.920000000000002</v>
      </c>
      <c r="E162">
        <v>40</v>
      </c>
      <c r="F162" t="s">
        <v>109</v>
      </c>
    </row>
    <row r="163" spans="1:6" x14ac:dyDescent="0.3">
      <c r="A163" t="s">
        <v>52</v>
      </c>
      <c r="B163">
        <v>2</v>
      </c>
      <c r="C163" t="s">
        <v>102</v>
      </c>
      <c r="D163">
        <v>58.44</v>
      </c>
      <c r="E163">
        <v>10</v>
      </c>
      <c r="F163" t="s">
        <v>109</v>
      </c>
    </row>
    <row r="164" spans="1:6" x14ac:dyDescent="0.3">
      <c r="A164" t="s">
        <v>52</v>
      </c>
      <c r="B164">
        <v>3</v>
      </c>
      <c r="C164" t="s">
        <v>97</v>
      </c>
      <c r="D164">
        <v>40.340000000000003</v>
      </c>
      <c r="E164">
        <v>0</v>
      </c>
      <c r="F164" t="s">
        <v>105</v>
      </c>
    </row>
    <row r="165" spans="1:6" x14ac:dyDescent="0.3">
      <c r="A165" t="s">
        <v>52</v>
      </c>
      <c r="B165">
        <v>3</v>
      </c>
      <c r="C165" t="s">
        <v>100</v>
      </c>
      <c r="D165">
        <v>0</v>
      </c>
      <c r="E165">
        <v>30</v>
      </c>
      <c r="F165" t="s">
        <v>105</v>
      </c>
    </row>
    <row r="166" spans="1:6" x14ac:dyDescent="0.3">
      <c r="A166" t="s">
        <v>52</v>
      </c>
      <c r="B166">
        <v>3</v>
      </c>
      <c r="C166" t="s">
        <v>102</v>
      </c>
      <c r="D166">
        <v>0</v>
      </c>
      <c r="E166">
        <v>0</v>
      </c>
      <c r="F166" t="s">
        <v>105</v>
      </c>
    </row>
    <row r="167" spans="1:6" x14ac:dyDescent="0.3">
      <c r="A167" t="s">
        <v>52</v>
      </c>
      <c r="B167">
        <v>4</v>
      </c>
      <c r="C167" t="s">
        <v>97</v>
      </c>
      <c r="D167">
        <v>65.95</v>
      </c>
      <c r="E167">
        <v>0</v>
      </c>
      <c r="F167" t="s">
        <v>107</v>
      </c>
    </row>
    <row r="168" spans="1:6" x14ac:dyDescent="0.3">
      <c r="A168" t="s">
        <v>52</v>
      </c>
      <c r="B168">
        <v>4</v>
      </c>
      <c r="C168" t="s">
        <v>100</v>
      </c>
      <c r="D168">
        <v>71.959999999999994</v>
      </c>
      <c r="E168">
        <v>70</v>
      </c>
      <c r="F168" t="s">
        <v>107</v>
      </c>
    </row>
    <row r="169" spans="1:6" x14ac:dyDescent="0.3">
      <c r="A169" t="s">
        <v>52</v>
      </c>
      <c r="B169">
        <v>4</v>
      </c>
      <c r="C169" t="s">
        <v>102</v>
      </c>
      <c r="D169">
        <v>80.709999999999994</v>
      </c>
      <c r="E169">
        <v>20</v>
      </c>
      <c r="F169" t="s">
        <v>107</v>
      </c>
    </row>
    <row r="170" spans="1:6" x14ac:dyDescent="0.3">
      <c r="A170" t="s">
        <v>53</v>
      </c>
      <c r="B170">
        <v>1</v>
      </c>
      <c r="C170" t="s">
        <v>97</v>
      </c>
      <c r="D170">
        <v>65.02</v>
      </c>
      <c r="E170">
        <v>10</v>
      </c>
      <c r="F170" t="s">
        <v>105</v>
      </c>
    </row>
    <row r="171" spans="1:6" x14ac:dyDescent="0.3">
      <c r="A171" t="s">
        <v>53</v>
      </c>
      <c r="B171">
        <v>1</v>
      </c>
      <c r="C171" t="s">
        <v>100</v>
      </c>
      <c r="D171">
        <v>51.97</v>
      </c>
      <c r="E171">
        <v>40</v>
      </c>
      <c r="F171" t="s">
        <v>105</v>
      </c>
    </row>
    <row r="172" spans="1:6" x14ac:dyDescent="0.3">
      <c r="A172" t="s">
        <v>53</v>
      </c>
      <c r="B172">
        <v>1</v>
      </c>
      <c r="C172" t="s">
        <v>102</v>
      </c>
      <c r="D172">
        <v>20.170000000000002</v>
      </c>
      <c r="E172">
        <v>20</v>
      </c>
      <c r="F172" t="s">
        <v>105</v>
      </c>
    </row>
    <row r="173" spans="1:6" x14ac:dyDescent="0.3">
      <c r="A173" t="s">
        <v>53</v>
      </c>
      <c r="B173">
        <v>2</v>
      </c>
      <c r="C173" t="s">
        <v>97</v>
      </c>
      <c r="D173">
        <v>37.97</v>
      </c>
      <c r="E173">
        <v>0</v>
      </c>
      <c r="F173" t="s">
        <v>107</v>
      </c>
    </row>
    <row r="174" spans="1:6" x14ac:dyDescent="0.3">
      <c r="A174" t="s">
        <v>53</v>
      </c>
      <c r="B174">
        <v>2</v>
      </c>
      <c r="C174" t="s">
        <v>100</v>
      </c>
      <c r="D174">
        <v>8.0399999999999991</v>
      </c>
      <c r="E174">
        <v>70</v>
      </c>
      <c r="F174" t="s">
        <v>107</v>
      </c>
    </row>
    <row r="175" spans="1:6" x14ac:dyDescent="0.3">
      <c r="A175" t="s">
        <v>53</v>
      </c>
      <c r="B175">
        <v>2</v>
      </c>
      <c r="C175" t="s">
        <v>102</v>
      </c>
      <c r="D175">
        <v>94.78</v>
      </c>
      <c r="E175">
        <v>20</v>
      </c>
      <c r="F175" t="s">
        <v>107</v>
      </c>
    </row>
    <row r="176" spans="1:6" x14ac:dyDescent="0.3">
      <c r="A176" t="s">
        <v>53</v>
      </c>
      <c r="B176">
        <v>3</v>
      </c>
      <c r="C176" t="s">
        <v>97</v>
      </c>
      <c r="D176">
        <v>48.12</v>
      </c>
      <c r="E176">
        <v>0</v>
      </c>
      <c r="F176" t="s">
        <v>109</v>
      </c>
    </row>
    <row r="177" spans="1:6" x14ac:dyDescent="0.3">
      <c r="A177" t="s">
        <v>53</v>
      </c>
      <c r="B177">
        <v>3</v>
      </c>
      <c r="C177" t="s">
        <v>100</v>
      </c>
      <c r="D177">
        <v>4.6100000000000003</v>
      </c>
      <c r="E177">
        <v>60</v>
      </c>
      <c r="F177" t="s">
        <v>109</v>
      </c>
    </row>
    <row r="178" spans="1:6" x14ac:dyDescent="0.3">
      <c r="A178" t="s">
        <v>53</v>
      </c>
      <c r="B178">
        <v>3</v>
      </c>
      <c r="C178" t="s">
        <v>102</v>
      </c>
      <c r="D178">
        <v>53.39</v>
      </c>
      <c r="E178">
        <v>20</v>
      </c>
      <c r="F178" t="s">
        <v>109</v>
      </c>
    </row>
    <row r="179" spans="1:6" x14ac:dyDescent="0.3">
      <c r="A179" t="s">
        <v>53</v>
      </c>
      <c r="B179">
        <v>4</v>
      </c>
      <c r="C179" t="s">
        <v>97</v>
      </c>
      <c r="D179">
        <v>80.599999999999994</v>
      </c>
      <c r="E179">
        <v>40</v>
      </c>
      <c r="F179" t="s">
        <v>107</v>
      </c>
    </row>
    <row r="180" spans="1:6" x14ac:dyDescent="0.3">
      <c r="A180" t="s">
        <v>53</v>
      </c>
      <c r="B180">
        <v>4</v>
      </c>
      <c r="C180" t="s">
        <v>100</v>
      </c>
      <c r="D180">
        <v>6.41</v>
      </c>
      <c r="E180">
        <v>80</v>
      </c>
      <c r="F180" t="s">
        <v>107</v>
      </c>
    </row>
    <row r="181" spans="1:6" x14ac:dyDescent="0.3">
      <c r="A181" t="s">
        <v>53</v>
      </c>
      <c r="B181">
        <v>4</v>
      </c>
      <c r="C181" t="s">
        <v>102</v>
      </c>
      <c r="D181">
        <v>32.53</v>
      </c>
      <c r="E181">
        <v>70</v>
      </c>
      <c r="F181" t="s">
        <v>107</v>
      </c>
    </row>
    <row r="182" spans="1:6" x14ac:dyDescent="0.3">
      <c r="A182" t="s">
        <v>54</v>
      </c>
      <c r="B182">
        <v>1</v>
      </c>
      <c r="C182" t="s">
        <v>97</v>
      </c>
      <c r="D182">
        <v>72.599999999999994</v>
      </c>
      <c r="E182">
        <v>0</v>
      </c>
      <c r="F182" t="s">
        <v>105</v>
      </c>
    </row>
    <row r="183" spans="1:6" x14ac:dyDescent="0.3">
      <c r="A183" t="s">
        <v>54</v>
      </c>
      <c r="B183">
        <v>1</v>
      </c>
      <c r="C183" t="s">
        <v>100</v>
      </c>
      <c r="D183">
        <v>27.95</v>
      </c>
      <c r="E183">
        <v>60</v>
      </c>
      <c r="F183" t="s">
        <v>105</v>
      </c>
    </row>
    <row r="184" spans="1:6" x14ac:dyDescent="0.3">
      <c r="A184" t="s">
        <v>54</v>
      </c>
      <c r="B184">
        <v>1</v>
      </c>
      <c r="C184" t="s">
        <v>102</v>
      </c>
      <c r="D184">
        <v>34.08</v>
      </c>
      <c r="E184">
        <v>0</v>
      </c>
      <c r="F184" t="s">
        <v>105</v>
      </c>
    </row>
    <row r="185" spans="1:6" x14ac:dyDescent="0.3">
      <c r="A185" t="s">
        <v>54</v>
      </c>
      <c r="B185">
        <v>2</v>
      </c>
      <c r="C185" t="s">
        <v>97</v>
      </c>
      <c r="D185">
        <v>88.86</v>
      </c>
      <c r="E185">
        <v>70</v>
      </c>
      <c r="F185" t="s">
        <v>107</v>
      </c>
    </row>
    <row r="186" spans="1:6" x14ac:dyDescent="0.3">
      <c r="A186" t="s">
        <v>54</v>
      </c>
      <c r="B186">
        <v>2</v>
      </c>
      <c r="C186" t="s">
        <v>100</v>
      </c>
      <c r="D186">
        <v>85.93</v>
      </c>
      <c r="E186">
        <v>70</v>
      </c>
      <c r="F186" t="s">
        <v>107</v>
      </c>
    </row>
    <row r="187" spans="1:6" x14ac:dyDescent="0.3">
      <c r="A187" t="s">
        <v>54</v>
      </c>
      <c r="B187">
        <v>2</v>
      </c>
      <c r="C187" t="s">
        <v>102</v>
      </c>
      <c r="D187">
        <v>61.13</v>
      </c>
      <c r="E187">
        <v>0</v>
      </c>
      <c r="F187" t="s">
        <v>107</v>
      </c>
    </row>
    <row r="188" spans="1:6" x14ac:dyDescent="0.3">
      <c r="A188" t="s">
        <v>54</v>
      </c>
      <c r="B188">
        <v>3</v>
      </c>
      <c r="C188" t="s">
        <v>97</v>
      </c>
      <c r="D188">
        <v>83.69</v>
      </c>
      <c r="E188">
        <v>10</v>
      </c>
      <c r="F188" t="s">
        <v>105</v>
      </c>
    </row>
    <row r="189" spans="1:6" x14ac:dyDescent="0.3">
      <c r="A189" t="s">
        <v>54</v>
      </c>
      <c r="B189">
        <v>3</v>
      </c>
      <c r="C189" t="s">
        <v>100</v>
      </c>
      <c r="D189">
        <v>100</v>
      </c>
      <c r="E189">
        <v>0</v>
      </c>
      <c r="F189" t="s">
        <v>105</v>
      </c>
    </row>
    <row r="190" spans="1:6" x14ac:dyDescent="0.3">
      <c r="A190" t="s">
        <v>54</v>
      </c>
      <c r="B190">
        <v>3</v>
      </c>
      <c r="C190" t="s">
        <v>102</v>
      </c>
      <c r="D190">
        <v>7.56</v>
      </c>
      <c r="E190">
        <v>40</v>
      </c>
      <c r="F190" t="s">
        <v>105</v>
      </c>
    </row>
    <row r="191" spans="1:6" x14ac:dyDescent="0.3">
      <c r="A191" t="s">
        <v>54</v>
      </c>
      <c r="B191">
        <v>4</v>
      </c>
      <c r="C191" t="s">
        <v>97</v>
      </c>
      <c r="D191">
        <v>87.51</v>
      </c>
      <c r="E191">
        <v>70</v>
      </c>
      <c r="F191" t="s">
        <v>108</v>
      </c>
    </row>
    <row r="192" spans="1:6" x14ac:dyDescent="0.3">
      <c r="A192" t="s">
        <v>54</v>
      </c>
      <c r="B192">
        <v>4</v>
      </c>
      <c r="C192" t="s">
        <v>100</v>
      </c>
      <c r="D192">
        <v>43.57</v>
      </c>
      <c r="E192">
        <v>90</v>
      </c>
      <c r="F192" t="s">
        <v>107</v>
      </c>
    </row>
    <row r="193" spans="1:6" x14ac:dyDescent="0.3">
      <c r="A193" t="s">
        <v>54</v>
      </c>
      <c r="B193">
        <v>4</v>
      </c>
      <c r="C193" t="s">
        <v>102</v>
      </c>
      <c r="D193">
        <v>59.95</v>
      </c>
      <c r="E193">
        <v>80</v>
      </c>
      <c r="F193" t="s">
        <v>107</v>
      </c>
    </row>
    <row r="194" spans="1:6" x14ac:dyDescent="0.3">
      <c r="A194" t="s">
        <v>55</v>
      </c>
      <c r="B194">
        <v>1</v>
      </c>
      <c r="C194" t="s">
        <v>97</v>
      </c>
      <c r="D194">
        <v>0</v>
      </c>
      <c r="E194">
        <v>90</v>
      </c>
      <c r="F194" t="s">
        <v>107</v>
      </c>
    </row>
    <row r="195" spans="1:6" x14ac:dyDescent="0.3">
      <c r="A195" t="s">
        <v>55</v>
      </c>
      <c r="B195">
        <v>1</v>
      </c>
      <c r="C195" t="s">
        <v>100</v>
      </c>
      <c r="D195">
        <v>0</v>
      </c>
      <c r="E195">
        <v>80</v>
      </c>
      <c r="F195" t="s">
        <v>107</v>
      </c>
    </row>
    <row r="196" spans="1:6" x14ac:dyDescent="0.3">
      <c r="A196" t="s">
        <v>55</v>
      </c>
      <c r="B196">
        <v>1</v>
      </c>
      <c r="C196" t="s">
        <v>102</v>
      </c>
      <c r="D196">
        <v>0.24</v>
      </c>
      <c r="E196">
        <v>0</v>
      </c>
      <c r="F196" t="s">
        <v>107</v>
      </c>
    </row>
    <row r="197" spans="1:6" x14ac:dyDescent="0.3">
      <c r="A197" t="s">
        <v>55</v>
      </c>
      <c r="B197">
        <v>2</v>
      </c>
      <c r="C197" t="s">
        <v>97</v>
      </c>
      <c r="D197">
        <v>100</v>
      </c>
      <c r="E197">
        <v>30</v>
      </c>
      <c r="F197" t="s">
        <v>105</v>
      </c>
    </row>
    <row r="198" spans="1:6" x14ac:dyDescent="0.3">
      <c r="A198" t="s">
        <v>55</v>
      </c>
      <c r="B198">
        <v>2</v>
      </c>
      <c r="C198" t="s">
        <v>100</v>
      </c>
      <c r="D198">
        <v>100</v>
      </c>
      <c r="E198">
        <v>60</v>
      </c>
      <c r="F198" t="s">
        <v>105</v>
      </c>
    </row>
    <row r="199" spans="1:6" x14ac:dyDescent="0.3">
      <c r="A199" t="s">
        <v>55</v>
      </c>
      <c r="B199">
        <v>2</v>
      </c>
      <c r="C199" t="s">
        <v>102</v>
      </c>
      <c r="D199">
        <v>100</v>
      </c>
      <c r="E199">
        <v>0</v>
      </c>
      <c r="F199" t="s">
        <v>105</v>
      </c>
    </row>
    <row r="200" spans="1:6" x14ac:dyDescent="0.3">
      <c r="A200" t="s">
        <v>55</v>
      </c>
      <c r="B200">
        <v>3</v>
      </c>
      <c r="C200" t="s">
        <v>97</v>
      </c>
      <c r="D200">
        <v>64.34</v>
      </c>
      <c r="E200">
        <v>0</v>
      </c>
      <c r="F200" t="s">
        <v>107</v>
      </c>
    </row>
    <row r="201" spans="1:6" x14ac:dyDescent="0.3">
      <c r="A201" t="s">
        <v>55</v>
      </c>
      <c r="B201">
        <v>3</v>
      </c>
      <c r="C201" t="s">
        <v>100</v>
      </c>
      <c r="D201">
        <v>0.98</v>
      </c>
      <c r="E201">
        <v>20</v>
      </c>
      <c r="F201" t="s">
        <v>107</v>
      </c>
    </row>
    <row r="202" spans="1:6" x14ac:dyDescent="0.3">
      <c r="A202" t="s">
        <v>55</v>
      </c>
      <c r="B202">
        <v>3</v>
      </c>
      <c r="C202" t="s">
        <v>102</v>
      </c>
      <c r="D202">
        <v>0.3</v>
      </c>
      <c r="E202">
        <v>30</v>
      </c>
      <c r="F202" t="s">
        <v>107</v>
      </c>
    </row>
    <row r="203" spans="1:6" x14ac:dyDescent="0.3">
      <c r="A203" t="s">
        <v>55</v>
      </c>
      <c r="B203">
        <v>4</v>
      </c>
      <c r="C203" t="s">
        <v>97</v>
      </c>
      <c r="D203">
        <v>36.64</v>
      </c>
      <c r="E203">
        <v>30</v>
      </c>
      <c r="F203" t="s">
        <v>105</v>
      </c>
    </row>
    <row r="204" spans="1:6" x14ac:dyDescent="0.3">
      <c r="A204" t="s">
        <v>55</v>
      </c>
      <c r="B204">
        <v>4</v>
      </c>
      <c r="C204" t="s">
        <v>100</v>
      </c>
      <c r="D204">
        <v>0.55000000000000004</v>
      </c>
      <c r="E204">
        <v>40</v>
      </c>
      <c r="F204" t="s">
        <v>105</v>
      </c>
    </row>
    <row r="205" spans="1:6" x14ac:dyDescent="0.3">
      <c r="A205" t="s">
        <v>55</v>
      </c>
      <c r="B205">
        <v>4</v>
      </c>
      <c r="C205" t="s">
        <v>102</v>
      </c>
      <c r="D205">
        <v>0</v>
      </c>
      <c r="E205">
        <v>90</v>
      </c>
      <c r="F205" t="s">
        <v>105</v>
      </c>
    </row>
    <row r="206" spans="1:6" x14ac:dyDescent="0.3">
      <c r="A206" t="s">
        <v>56</v>
      </c>
      <c r="B206">
        <v>1</v>
      </c>
      <c r="C206" t="s">
        <v>97</v>
      </c>
      <c r="D206">
        <v>4.62</v>
      </c>
      <c r="E206">
        <v>30</v>
      </c>
      <c r="F206" t="s">
        <v>107</v>
      </c>
    </row>
    <row r="207" spans="1:6" x14ac:dyDescent="0.3">
      <c r="A207" t="s">
        <v>56</v>
      </c>
      <c r="B207">
        <v>1</v>
      </c>
      <c r="C207" t="s">
        <v>100</v>
      </c>
      <c r="D207">
        <v>24.42</v>
      </c>
      <c r="E207">
        <v>80</v>
      </c>
      <c r="F207" t="s">
        <v>107</v>
      </c>
    </row>
    <row r="208" spans="1:6" x14ac:dyDescent="0.3">
      <c r="A208" t="s">
        <v>56</v>
      </c>
      <c r="B208">
        <v>1</v>
      </c>
      <c r="C208" t="s">
        <v>102</v>
      </c>
      <c r="D208">
        <v>33.96</v>
      </c>
      <c r="E208">
        <v>70</v>
      </c>
      <c r="F208" t="s">
        <v>107</v>
      </c>
    </row>
    <row r="209" spans="1:6" x14ac:dyDescent="0.3">
      <c r="A209" t="s">
        <v>56</v>
      </c>
      <c r="B209">
        <v>2</v>
      </c>
      <c r="C209" t="s">
        <v>97</v>
      </c>
      <c r="D209">
        <v>2.04</v>
      </c>
      <c r="E209">
        <v>60</v>
      </c>
      <c r="F209" t="s">
        <v>105</v>
      </c>
    </row>
    <row r="210" spans="1:6" x14ac:dyDescent="0.3">
      <c r="A210" t="s">
        <v>56</v>
      </c>
      <c r="B210">
        <v>2</v>
      </c>
      <c r="C210" t="s">
        <v>100</v>
      </c>
      <c r="D210">
        <v>12.68</v>
      </c>
      <c r="E210">
        <v>90</v>
      </c>
      <c r="F210" t="s">
        <v>105</v>
      </c>
    </row>
    <row r="211" spans="1:6" x14ac:dyDescent="0.3">
      <c r="A211" t="s">
        <v>56</v>
      </c>
      <c r="B211">
        <v>2</v>
      </c>
      <c r="C211" t="s">
        <v>102</v>
      </c>
      <c r="D211">
        <v>16.41</v>
      </c>
      <c r="E211">
        <v>0</v>
      </c>
      <c r="F211" t="s">
        <v>105</v>
      </c>
    </row>
    <row r="212" spans="1:6" x14ac:dyDescent="0.3">
      <c r="A212" t="s">
        <v>56</v>
      </c>
      <c r="B212">
        <v>3</v>
      </c>
      <c r="C212" t="s">
        <v>97</v>
      </c>
      <c r="D212">
        <v>0.77</v>
      </c>
      <c r="E212">
        <v>70</v>
      </c>
      <c r="F212" t="s">
        <v>107</v>
      </c>
    </row>
    <row r="213" spans="1:6" x14ac:dyDescent="0.3">
      <c r="A213" t="s">
        <v>56</v>
      </c>
      <c r="B213">
        <v>3</v>
      </c>
      <c r="C213" t="s">
        <v>100</v>
      </c>
      <c r="D213">
        <v>26.2</v>
      </c>
      <c r="E213">
        <v>90</v>
      </c>
      <c r="F213" t="s">
        <v>107</v>
      </c>
    </row>
    <row r="214" spans="1:6" x14ac:dyDescent="0.3">
      <c r="A214" t="s">
        <v>56</v>
      </c>
      <c r="B214">
        <v>3</v>
      </c>
      <c r="C214" t="s">
        <v>102</v>
      </c>
      <c r="D214">
        <v>74.38</v>
      </c>
      <c r="E214">
        <v>80</v>
      </c>
      <c r="F214" t="s">
        <v>107</v>
      </c>
    </row>
    <row r="215" spans="1:6" x14ac:dyDescent="0.3">
      <c r="A215" t="s">
        <v>56</v>
      </c>
      <c r="B215">
        <v>4</v>
      </c>
      <c r="C215" t="s">
        <v>97</v>
      </c>
      <c r="D215">
        <v>54.57</v>
      </c>
      <c r="E215">
        <v>20</v>
      </c>
      <c r="F215" t="s">
        <v>105</v>
      </c>
    </row>
    <row r="216" spans="1:6" x14ac:dyDescent="0.3">
      <c r="A216" t="s">
        <v>56</v>
      </c>
      <c r="B216">
        <v>4</v>
      </c>
      <c r="C216" t="s">
        <v>100</v>
      </c>
      <c r="D216">
        <v>0</v>
      </c>
      <c r="E216">
        <v>40</v>
      </c>
      <c r="F216" t="s">
        <v>105</v>
      </c>
    </row>
    <row r="217" spans="1:6" x14ac:dyDescent="0.3">
      <c r="A217" t="s">
        <v>56</v>
      </c>
      <c r="B217">
        <v>4</v>
      </c>
      <c r="C217" t="s">
        <v>102</v>
      </c>
      <c r="D217">
        <v>5.34</v>
      </c>
      <c r="E217">
        <v>0</v>
      </c>
      <c r="F217" t="s">
        <v>105</v>
      </c>
    </row>
    <row r="218" spans="1:6" x14ac:dyDescent="0.3">
      <c r="A218" t="s">
        <v>57</v>
      </c>
      <c r="B218">
        <v>1</v>
      </c>
      <c r="C218" t="s">
        <v>97</v>
      </c>
      <c r="D218">
        <v>27.06</v>
      </c>
      <c r="E218">
        <v>70</v>
      </c>
      <c r="F218" t="s">
        <v>107</v>
      </c>
    </row>
    <row r="219" spans="1:6" x14ac:dyDescent="0.3">
      <c r="A219" t="s">
        <v>57</v>
      </c>
      <c r="B219">
        <v>1</v>
      </c>
      <c r="C219" t="s">
        <v>100</v>
      </c>
      <c r="D219">
        <v>65.959999999999994</v>
      </c>
      <c r="E219">
        <v>60</v>
      </c>
      <c r="F219" t="s">
        <v>107</v>
      </c>
    </row>
    <row r="220" spans="1:6" x14ac:dyDescent="0.3">
      <c r="A220" t="s">
        <v>57</v>
      </c>
      <c r="B220">
        <v>1</v>
      </c>
      <c r="C220" t="s">
        <v>102</v>
      </c>
      <c r="D220">
        <v>53.16</v>
      </c>
      <c r="E220">
        <v>70</v>
      </c>
      <c r="F220" t="s">
        <v>107</v>
      </c>
    </row>
    <row r="221" spans="1:6" x14ac:dyDescent="0.3">
      <c r="A221" t="s">
        <v>57</v>
      </c>
      <c r="B221">
        <v>2</v>
      </c>
      <c r="C221" t="s">
        <v>97</v>
      </c>
      <c r="D221">
        <v>3.89</v>
      </c>
      <c r="E221">
        <v>10</v>
      </c>
      <c r="F221" t="s">
        <v>105</v>
      </c>
    </row>
    <row r="222" spans="1:6" x14ac:dyDescent="0.3">
      <c r="A222" t="s">
        <v>57</v>
      </c>
      <c r="B222">
        <v>2</v>
      </c>
      <c r="C222" t="s">
        <v>100</v>
      </c>
      <c r="D222">
        <v>12.89</v>
      </c>
      <c r="E222">
        <v>80</v>
      </c>
      <c r="F222" t="s">
        <v>105</v>
      </c>
    </row>
    <row r="223" spans="1:6" x14ac:dyDescent="0.3">
      <c r="A223" t="s">
        <v>57</v>
      </c>
      <c r="B223">
        <v>2</v>
      </c>
      <c r="C223" t="s">
        <v>102</v>
      </c>
      <c r="D223">
        <v>10.97</v>
      </c>
      <c r="E223">
        <v>100</v>
      </c>
      <c r="F223" t="s">
        <v>105</v>
      </c>
    </row>
    <row r="224" spans="1:6" x14ac:dyDescent="0.3">
      <c r="A224" t="s">
        <v>57</v>
      </c>
      <c r="B224">
        <v>3</v>
      </c>
      <c r="C224" t="s">
        <v>97</v>
      </c>
      <c r="D224">
        <v>73.72</v>
      </c>
      <c r="E224">
        <v>30</v>
      </c>
      <c r="F224" t="s">
        <v>107</v>
      </c>
    </row>
    <row r="225" spans="1:6" x14ac:dyDescent="0.3">
      <c r="A225" t="s">
        <v>57</v>
      </c>
      <c r="B225">
        <v>3</v>
      </c>
      <c r="C225" t="s">
        <v>100</v>
      </c>
      <c r="D225">
        <v>58.91</v>
      </c>
      <c r="E225">
        <v>70</v>
      </c>
      <c r="F225" t="s">
        <v>107</v>
      </c>
    </row>
    <row r="226" spans="1:6" x14ac:dyDescent="0.3">
      <c r="A226" t="s">
        <v>57</v>
      </c>
      <c r="B226">
        <v>3</v>
      </c>
      <c r="C226" t="s">
        <v>102</v>
      </c>
      <c r="D226">
        <v>82.65</v>
      </c>
      <c r="E226">
        <v>30</v>
      </c>
      <c r="F226" t="s">
        <v>107</v>
      </c>
    </row>
    <row r="227" spans="1:6" x14ac:dyDescent="0.3">
      <c r="A227" t="s">
        <v>57</v>
      </c>
      <c r="B227">
        <v>4</v>
      </c>
      <c r="C227" t="s">
        <v>97</v>
      </c>
      <c r="D227">
        <v>86.02</v>
      </c>
      <c r="E227">
        <v>20</v>
      </c>
      <c r="F227" t="s">
        <v>105</v>
      </c>
    </row>
    <row r="228" spans="1:6" x14ac:dyDescent="0.3">
      <c r="A228" t="s">
        <v>57</v>
      </c>
      <c r="B228">
        <v>4</v>
      </c>
      <c r="C228" t="s">
        <v>100</v>
      </c>
      <c r="D228">
        <v>62.86</v>
      </c>
      <c r="E228">
        <v>40</v>
      </c>
      <c r="F228" t="s">
        <v>105</v>
      </c>
    </row>
    <row r="229" spans="1:6" x14ac:dyDescent="0.3">
      <c r="A229" t="s">
        <v>57</v>
      </c>
      <c r="B229">
        <v>4</v>
      </c>
      <c r="C229" t="s">
        <v>102</v>
      </c>
      <c r="D229">
        <v>52.7</v>
      </c>
      <c r="E229">
        <v>0</v>
      </c>
      <c r="F229" t="s">
        <v>105</v>
      </c>
    </row>
    <row r="230" spans="1:6" x14ac:dyDescent="0.3">
      <c r="A230" t="s">
        <v>58</v>
      </c>
      <c r="B230">
        <v>1</v>
      </c>
      <c r="C230" t="s">
        <v>97</v>
      </c>
      <c r="D230">
        <v>33.520000000000003</v>
      </c>
      <c r="E230">
        <v>0</v>
      </c>
      <c r="F230" t="s">
        <v>105</v>
      </c>
    </row>
    <row r="231" spans="1:6" x14ac:dyDescent="0.3">
      <c r="A231" t="s">
        <v>58</v>
      </c>
      <c r="B231">
        <v>1</v>
      </c>
      <c r="C231" t="s">
        <v>100</v>
      </c>
      <c r="D231">
        <v>22.52</v>
      </c>
      <c r="E231">
        <v>0</v>
      </c>
      <c r="F231" t="s">
        <v>105</v>
      </c>
    </row>
    <row r="232" spans="1:6" x14ac:dyDescent="0.3">
      <c r="A232" t="s">
        <v>58</v>
      </c>
      <c r="B232">
        <v>1</v>
      </c>
      <c r="C232" t="s">
        <v>102</v>
      </c>
      <c r="D232">
        <v>67.84</v>
      </c>
      <c r="E232">
        <v>60</v>
      </c>
      <c r="F232" t="s">
        <v>105</v>
      </c>
    </row>
    <row r="233" spans="1:6" x14ac:dyDescent="0.3">
      <c r="A233" t="s">
        <v>58</v>
      </c>
      <c r="B233">
        <v>2</v>
      </c>
      <c r="C233" t="s">
        <v>97</v>
      </c>
      <c r="D233">
        <v>22.72</v>
      </c>
      <c r="E233">
        <v>0</v>
      </c>
      <c r="F233" t="s">
        <v>107</v>
      </c>
    </row>
    <row r="234" spans="1:6" x14ac:dyDescent="0.3">
      <c r="A234" t="s">
        <v>58</v>
      </c>
      <c r="B234">
        <v>2</v>
      </c>
      <c r="C234" t="s">
        <v>100</v>
      </c>
      <c r="D234">
        <v>26.29</v>
      </c>
      <c r="E234">
        <v>80</v>
      </c>
      <c r="F234" t="s">
        <v>107</v>
      </c>
    </row>
    <row r="235" spans="1:6" x14ac:dyDescent="0.3">
      <c r="A235" t="s">
        <v>58</v>
      </c>
      <c r="B235">
        <v>2</v>
      </c>
      <c r="C235" t="s">
        <v>102</v>
      </c>
      <c r="D235">
        <v>25.54</v>
      </c>
      <c r="E235">
        <v>0</v>
      </c>
      <c r="F235" t="s">
        <v>107</v>
      </c>
    </row>
    <row r="236" spans="1:6" x14ac:dyDescent="0.3">
      <c r="A236" t="s">
        <v>58</v>
      </c>
      <c r="B236">
        <v>3</v>
      </c>
      <c r="C236" t="s">
        <v>97</v>
      </c>
      <c r="D236">
        <v>26.16</v>
      </c>
      <c r="E236">
        <v>0</v>
      </c>
      <c r="F236" t="s">
        <v>105</v>
      </c>
    </row>
    <row r="237" spans="1:6" x14ac:dyDescent="0.3">
      <c r="A237" t="s">
        <v>58</v>
      </c>
      <c r="B237">
        <v>3</v>
      </c>
      <c r="C237" t="s">
        <v>100</v>
      </c>
      <c r="D237">
        <v>34.46</v>
      </c>
      <c r="E237">
        <v>0</v>
      </c>
      <c r="F237" t="s">
        <v>105</v>
      </c>
    </row>
    <row r="238" spans="1:6" x14ac:dyDescent="0.3">
      <c r="A238" t="s">
        <v>58</v>
      </c>
      <c r="B238">
        <v>3</v>
      </c>
      <c r="C238" t="s">
        <v>102</v>
      </c>
      <c r="D238">
        <v>18.61</v>
      </c>
      <c r="E238">
        <v>0</v>
      </c>
      <c r="F238" t="s">
        <v>105</v>
      </c>
    </row>
    <row r="239" spans="1:6" x14ac:dyDescent="0.3">
      <c r="A239" t="s">
        <v>58</v>
      </c>
      <c r="B239">
        <v>4</v>
      </c>
      <c r="C239" t="s">
        <v>97</v>
      </c>
      <c r="D239">
        <v>61.93</v>
      </c>
      <c r="E239">
        <v>10</v>
      </c>
      <c r="F239" t="s">
        <v>107</v>
      </c>
    </row>
    <row r="240" spans="1:6" x14ac:dyDescent="0.3">
      <c r="A240" t="s">
        <v>58</v>
      </c>
      <c r="B240">
        <v>4</v>
      </c>
      <c r="C240" t="s">
        <v>100</v>
      </c>
      <c r="D240">
        <v>55.91</v>
      </c>
      <c r="E240">
        <v>10</v>
      </c>
      <c r="F240" t="s">
        <v>107</v>
      </c>
    </row>
    <row r="241" spans="1:6" x14ac:dyDescent="0.3">
      <c r="A241" t="s">
        <v>58</v>
      </c>
      <c r="B241">
        <v>4</v>
      </c>
      <c r="C241" t="s">
        <v>102</v>
      </c>
      <c r="D241">
        <v>34.47</v>
      </c>
      <c r="E241">
        <v>10</v>
      </c>
      <c r="F241" t="s">
        <v>107</v>
      </c>
    </row>
    <row r="242" spans="1:6" x14ac:dyDescent="0.3">
      <c r="A242" t="s">
        <v>59</v>
      </c>
      <c r="B242">
        <v>1</v>
      </c>
      <c r="C242" t="s">
        <v>97</v>
      </c>
      <c r="D242">
        <v>26.25</v>
      </c>
      <c r="E242">
        <v>0</v>
      </c>
      <c r="F242" t="s">
        <v>105</v>
      </c>
    </row>
    <row r="243" spans="1:6" x14ac:dyDescent="0.3">
      <c r="A243" t="s">
        <v>59</v>
      </c>
      <c r="B243">
        <v>1</v>
      </c>
      <c r="C243" t="s">
        <v>100</v>
      </c>
      <c r="D243">
        <v>50.6</v>
      </c>
      <c r="E243">
        <v>30</v>
      </c>
      <c r="F243" t="s">
        <v>105</v>
      </c>
    </row>
    <row r="244" spans="1:6" x14ac:dyDescent="0.3">
      <c r="A244" t="s">
        <v>59</v>
      </c>
      <c r="B244">
        <v>1</v>
      </c>
      <c r="C244" t="s">
        <v>102</v>
      </c>
      <c r="D244">
        <v>64.290000000000006</v>
      </c>
      <c r="E244">
        <v>0</v>
      </c>
      <c r="F244" t="s">
        <v>105</v>
      </c>
    </row>
    <row r="245" spans="1:6" x14ac:dyDescent="0.3">
      <c r="A245" t="s">
        <v>59</v>
      </c>
      <c r="B245">
        <v>2</v>
      </c>
      <c r="C245" t="s">
        <v>97</v>
      </c>
      <c r="D245">
        <v>81.31</v>
      </c>
      <c r="E245">
        <v>80</v>
      </c>
      <c r="F245" t="s">
        <v>107</v>
      </c>
    </row>
    <row r="246" spans="1:6" x14ac:dyDescent="0.3">
      <c r="A246" t="s">
        <v>59</v>
      </c>
      <c r="B246">
        <v>2</v>
      </c>
      <c r="C246" t="s">
        <v>100</v>
      </c>
      <c r="D246">
        <v>72.400000000000006</v>
      </c>
      <c r="E246">
        <v>20</v>
      </c>
      <c r="F246" t="s">
        <v>107</v>
      </c>
    </row>
    <row r="247" spans="1:6" x14ac:dyDescent="0.3">
      <c r="A247" t="s">
        <v>59</v>
      </c>
      <c r="B247">
        <v>2</v>
      </c>
      <c r="C247" t="s">
        <v>102</v>
      </c>
      <c r="D247">
        <v>68.319999999999993</v>
      </c>
      <c r="E247">
        <v>10</v>
      </c>
      <c r="F247" t="s">
        <v>107</v>
      </c>
    </row>
    <row r="248" spans="1:6" x14ac:dyDescent="0.3">
      <c r="A248" t="s">
        <v>59</v>
      </c>
      <c r="B248">
        <v>3</v>
      </c>
      <c r="C248" t="s">
        <v>97</v>
      </c>
      <c r="D248">
        <v>69.760000000000005</v>
      </c>
      <c r="E248">
        <v>70</v>
      </c>
      <c r="F248" t="s">
        <v>105</v>
      </c>
    </row>
    <row r="249" spans="1:6" x14ac:dyDescent="0.3">
      <c r="A249" t="s">
        <v>59</v>
      </c>
      <c r="B249">
        <v>3</v>
      </c>
      <c r="C249" t="s">
        <v>100</v>
      </c>
      <c r="D249">
        <v>76.900000000000006</v>
      </c>
      <c r="E249">
        <v>80</v>
      </c>
      <c r="F249" t="s">
        <v>105</v>
      </c>
    </row>
    <row r="250" spans="1:6" x14ac:dyDescent="0.3">
      <c r="A250" t="s">
        <v>59</v>
      </c>
      <c r="B250">
        <v>3</v>
      </c>
      <c r="C250" t="s">
        <v>102</v>
      </c>
      <c r="D250">
        <v>69.23</v>
      </c>
      <c r="E250">
        <v>0</v>
      </c>
      <c r="F250" t="s">
        <v>105</v>
      </c>
    </row>
    <row r="251" spans="1:6" x14ac:dyDescent="0.3">
      <c r="A251" t="s">
        <v>59</v>
      </c>
      <c r="B251">
        <v>4</v>
      </c>
      <c r="C251" t="s">
        <v>97</v>
      </c>
      <c r="D251">
        <v>33.85</v>
      </c>
      <c r="E251">
        <v>80</v>
      </c>
      <c r="F251" t="s">
        <v>107</v>
      </c>
    </row>
    <row r="252" spans="1:6" x14ac:dyDescent="0.3">
      <c r="A252" t="s">
        <v>59</v>
      </c>
      <c r="B252">
        <v>4</v>
      </c>
      <c r="C252" t="s">
        <v>100</v>
      </c>
      <c r="D252">
        <v>16.82</v>
      </c>
      <c r="E252">
        <v>60</v>
      </c>
      <c r="F252" t="s">
        <v>107</v>
      </c>
    </row>
    <row r="253" spans="1:6" x14ac:dyDescent="0.3">
      <c r="A253" t="s">
        <v>59</v>
      </c>
      <c r="B253">
        <v>4</v>
      </c>
      <c r="C253" t="s">
        <v>102</v>
      </c>
      <c r="D253">
        <v>27.85</v>
      </c>
      <c r="E253">
        <v>70</v>
      </c>
      <c r="F253" t="s">
        <v>107</v>
      </c>
    </row>
    <row r="254" spans="1:6" x14ac:dyDescent="0.3">
      <c r="A254" t="s">
        <v>60</v>
      </c>
      <c r="B254">
        <v>1</v>
      </c>
      <c r="C254" t="s">
        <v>97</v>
      </c>
      <c r="D254">
        <v>51.41</v>
      </c>
      <c r="E254">
        <v>0</v>
      </c>
      <c r="F254" t="s">
        <v>107</v>
      </c>
    </row>
    <row r="255" spans="1:6" x14ac:dyDescent="0.3">
      <c r="A255" t="s">
        <v>60</v>
      </c>
      <c r="B255">
        <v>1</v>
      </c>
      <c r="C255" t="s">
        <v>100</v>
      </c>
      <c r="D255">
        <v>64.319999999999993</v>
      </c>
      <c r="E255">
        <v>90</v>
      </c>
      <c r="F255" t="s">
        <v>107</v>
      </c>
    </row>
    <row r="256" spans="1:6" x14ac:dyDescent="0.3">
      <c r="A256" t="s">
        <v>60</v>
      </c>
      <c r="B256">
        <v>1</v>
      </c>
      <c r="C256" t="s">
        <v>102</v>
      </c>
      <c r="D256">
        <v>65.239999999999995</v>
      </c>
      <c r="E256">
        <v>70</v>
      </c>
      <c r="F256" t="s">
        <v>107</v>
      </c>
    </row>
    <row r="257" spans="1:6" x14ac:dyDescent="0.3">
      <c r="A257" t="s">
        <v>60</v>
      </c>
      <c r="B257">
        <v>2</v>
      </c>
      <c r="C257" t="s">
        <v>97</v>
      </c>
      <c r="D257">
        <v>84.39</v>
      </c>
      <c r="E257">
        <v>0</v>
      </c>
      <c r="F257" t="s">
        <v>105</v>
      </c>
    </row>
    <row r="258" spans="1:6" x14ac:dyDescent="0.3">
      <c r="A258" t="s">
        <v>60</v>
      </c>
      <c r="B258">
        <v>2</v>
      </c>
      <c r="C258" t="s">
        <v>100</v>
      </c>
      <c r="D258" s="13">
        <v>52.74</v>
      </c>
      <c r="E258">
        <v>60</v>
      </c>
      <c r="F258" t="s">
        <v>105</v>
      </c>
    </row>
    <row r="259" spans="1:6" x14ac:dyDescent="0.3">
      <c r="A259" t="s">
        <v>60</v>
      </c>
      <c r="B259">
        <v>2</v>
      </c>
      <c r="C259" t="s">
        <v>102</v>
      </c>
      <c r="D259">
        <v>59.25</v>
      </c>
      <c r="E259">
        <v>60</v>
      </c>
      <c r="F259" t="s">
        <v>105</v>
      </c>
    </row>
    <row r="260" spans="1:6" x14ac:dyDescent="0.3">
      <c r="A260" t="s">
        <v>60</v>
      </c>
      <c r="B260">
        <v>3</v>
      </c>
      <c r="C260" t="s">
        <v>97</v>
      </c>
      <c r="D260">
        <v>61.91</v>
      </c>
      <c r="E260">
        <v>70</v>
      </c>
      <c r="F260" t="s">
        <v>107</v>
      </c>
    </row>
    <row r="261" spans="1:6" x14ac:dyDescent="0.3">
      <c r="A261" t="s">
        <v>60</v>
      </c>
      <c r="B261">
        <v>3</v>
      </c>
      <c r="C261" t="s">
        <v>100</v>
      </c>
      <c r="D261">
        <v>47.25</v>
      </c>
      <c r="E261">
        <v>80</v>
      </c>
      <c r="F261" t="s">
        <v>107</v>
      </c>
    </row>
    <row r="262" spans="1:6" x14ac:dyDescent="0.3">
      <c r="A262" t="s">
        <v>60</v>
      </c>
      <c r="B262">
        <v>3</v>
      </c>
      <c r="C262" t="s">
        <v>102</v>
      </c>
      <c r="D262">
        <v>62.35</v>
      </c>
      <c r="E262">
        <v>80</v>
      </c>
      <c r="F262" t="s">
        <v>107</v>
      </c>
    </row>
    <row r="263" spans="1:6" x14ac:dyDescent="0.3">
      <c r="A263" t="s">
        <v>60</v>
      </c>
      <c r="B263">
        <v>4</v>
      </c>
      <c r="C263" t="s">
        <v>97</v>
      </c>
      <c r="D263">
        <v>78.900000000000006</v>
      </c>
      <c r="E263">
        <v>30</v>
      </c>
      <c r="F263" t="s">
        <v>105</v>
      </c>
    </row>
    <row r="264" spans="1:6" x14ac:dyDescent="0.3">
      <c r="A264" t="s">
        <v>60</v>
      </c>
      <c r="B264">
        <v>4</v>
      </c>
      <c r="C264" t="s">
        <v>100</v>
      </c>
      <c r="D264">
        <v>71.22</v>
      </c>
      <c r="E264">
        <v>70</v>
      </c>
      <c r="F264" t="s">
        <v>105</v>
      </c>
    </row>
    <row r="265" spans="1:6" x14ac:dyDescent="0.3">
      <c r="A265" t="s">
        <v>60</v>
      </c>
      <c r="B265">
        <v>4</v>
      </c>
      <c r="C265" t="s">
        <v>102</v>
      </c>
      <c r="D265">
        <v>14.75</v>
      </c>
      <c r="E265">
        <v>20</v>
      </c>
      <c r="F265" t="s">
        <v>105</v>
      </c>
    </row>
    <row r="266" spans="1:6" x14ac:dyDescent="0.3">
      <c r="A266" t="s">
        <v>61</v>
      </c>
      <c r="B266">
        <v>1</v>
      </c>
      <c r="C266" t="s">
        <v>97</v>
      </c>
      <c r="D266">
        <v>63.82</v>
      </c>
      <c r="E266">
        <v>0</v>
      </c>
      <c r="F266" t="s">
        <v>105</v>
      </c>
    </row>
    <row r="267" spans="1:6" x14ac:dyDescent="0.3">
      <c r="A267" t="s">
        <v>61</v>
      </c>
      <c r="B267">
        <v>1</v>
      </c>
      <c r="C267" t="s">
        <v>100</v>
      </c>
      <c r="D267">
        <v>14.21</v>
      </c>
      <c r="E267">
        <v>70</v>
      </c>
      <c r="F267" t="s">
        <v>105</v>
      </c>
    </row>
    <row r="268" spans="1:6" x14ac:dyDescent="0.3">
      <c r="A268" t="s">
        <v>61</v>
      </c>
      <c r="B268">
        <v>1</v>
      </c>
      <c r="C268" t="s">
        <v>102</v>
      </c>
      <c r="D268">
        <v>67.42</v>
      </c>
      <c r="E268">
        <v>0</v>
      </c>
      <c r="F268" t="s">
        <v>105</v>
      </c>
    </row>
    <row r="269" spans="1:6" x14ac:dyDescent="0.3">
      <c r="A269" t="s">
        <v>61</v>
      </c>
      <c r="B269">
        <v>2</v>
      </c>
      <c r="C269" t="s">
        <v>97</v>
      </c>
      <c r="D269">
        <v>63.72</v>
      </c>
      <c r="E269">
        <v>60</v>
      </c>
      <c r="F269" t="s">
        <v>107</v>
      </c>
    </row>
    <row r="270" spans="1:6" x14ac:dyDescent="0.3">
      <c r="A270" t="s">
        <v>61</v>
      </c>
      <c r="B270">
        <v>2</v>
      </c>
      <c r="C270" t="s">
        <v>100</v>
      </c>
      <c r="D270">
        <v>49.03</v>
      </c>
      <c r="E270">
        <v>80</v>
      </c>
      <c r="F270" t="s">
        <v>107</v>
      </c>
    </row>
    <row r="271" spans="1:6" x14ac:dyDescent="0.3">
      <c r="A271" t="s">
        <v>61</v>
      </c>
      <c r="B271">
        <v>2</v>
      </c>
      <c r="C271" t="s">
        <v>102</v>
      </c>
      <c r="D271">
        <v>38.08</v>
      </c>
      <c r="E271">
        <v>90</v>
      </c>
      <c r="F271" t="s">
        <v>107</v>
      </c>
    </row>
    <row r="272" spans="1:6" x14ac:dyDescent="0.3">
      <c r="A272" t="s">
        <v>61</v>
      </c>
      <c r="B272">
        <v>3</v>
      </c>
      <c r="C272" t="s">
        <v>97</v>
      </c>
      <c r="D272">
        <v>37.75</v>
      </c>
      <c r="E272">
        <v>70</v>
      </c>
      <c r="F272" t="s">
        <v>105</v>
      </c>
    </row>
    <row r="273" spans="1:6" x14ac:dyDescent="0.3">
      <c r="A273" t="s">
        <v>61</v>
      </c>
      <c r="B273">
        <v>3</v>
      </c>
      <c r="C273" t="s">
        <v>100</v>
      </c>
      <c r="D273">
        <v>40.04</v>
      </c>
      <c r="E273">
        <v>60</v>
      </c>
      <c r="F273" t="s">
        <v>105</v>
      </c>
    </row>
    <row r="274" spans="1:6" x14ac:dyDescent="0.3">
      <c r="A274" t="s">
        <v>61</v>
      </c>
      <c r="B274">
        <v>3</v>
      </c>
      <c r="C274" t="s">
        <v>102</v>
      </c>
      <c r="D274">
        <v>31.64</v>
      </c>
      <c r="E274">
        <v>0</v>
      </c>
      <c r="F274" t="s">
        <v>105</v>
      </c>
    </row>
    <row r="275" spans="1:6" x14ac:dyDescent="0.3">
      <c r="A275" t="s">
        <v>61</v>
      </c>
      <c r="B275">
        <v>4</v>
      </c>
      <c r="C275" t="s">
        <v>97</v>
      </c>
      <c r="D275">
        <v>30.96</v>
      </c>
      <c r="E275">
        <v>40</v>
      </c>
      <c r="F275" t="s">
        <v>107</v>
      </c>
    </row>
    <row r="276" spans="1:6" x14ac:dyDescent="0.3">
      <c r="A276" t="s">
        <v>61</v>
      </c>
      <c r="B276">
        <v>4</v>
      </c>
      <c r="C276" t="s">
        <v>100</v>
      </c>
      <c r="D276">
        <v>38.270000000000003</v>
      </c>
      <c r="E276">
        <v>90</v>
      </c>
      <c r="F276" t="s">
        <v>107</v>
      </c>
    </row>
    <row r="277" spans="1:6" x14ac:dyDescent="0.3">
      <c r="A277" t="s">
        <v>61</v>
      </c>
      <c r="B277">
        <v>4</v>
      </c>
      <c r="C277" t="s">
        <v>102</v>
      </c>
      <c r="D277">
        <v>23.47</v>
      </c>
      <c r="E277">
        <v>0</v>
      </c>
      <c r="F277" t="s">
        <v>107</v>
      </c>
    </row>
    <row r="278" spans="1:6" x14ac:dyDescent="0.3">
      <c r="A278" t="s">
        <v>74</v>
      </c>
      <c r="B278">
        <v>1</v>
      </c>
      <c r="C278" t="s">
        <v>97</v>
      </c>
      <c r="D278">
        <v>20</v>
      </c>
      <c r="E278">
        <v>0</v>
      </c>
      <c r="F278" t="s">
        <v>109</v>
      </c>
    </row>
    <row r="279" spans="1:6" x14ac:dyDescent="0.3">
      <c r="A279" t="s">
        <v>74</v>
      </c>
      <c r="B279">
        <v>1</v>
      </c>
      <c r="C279" t="s">
        <v>100</v>
      </c>
      <c r="D279">
        <v>0</v>
      </c>
      <c r="E279">
        <v>0</v>
      </c>
      <c r="F279" t="s">
        <v>109</v>
      </c>
    </row>
    <row r="280" spans="1:6" x14ac:dyDescent="0.3">
      <c r="A280" t="s">
        <v>74</v>
      </c>
      <c r="B280">
        <v>1</v>
      </c>
      <c r="C280" t="s">
        <v>102</v>
      </c>
      <c r="D280">
        <v>10</v>
      </c>
      <c r="E280">
        <v>0</v>
      </c>
      <c r="F280" t="s">
        <v>109</v>
      </c>
    </row>
    <row r="281" spans="1:6" x14ac:dyDescent="0.3">
      <c r="A281" t="s">
        <v>74</v>
      </c>
      <c r="B281">
        <v>2</v>
      </c>
      <c r="C281" t="s">
        <v>97</v>
      </c>
      <c r="D281">
        <v>20</v>
      </c>
      <c r="E281">
        <v>0</v>
      </c>
      <c r="F281" t="s">
        <v>109</v>
      </c>
    </row>
    <row r="282" spans="1:6" x14ac:dyDescent="0.3">
      <c r="A282" t="s">
        <v>74</v>
      </c>
      <c r="B282">
        <v>2</v>
      </c>
      <c r="C282" t="s">
        <v>100</v>
      </c>
      <c r="D282">
        <v>0</v>
      </c>
      <c r="E282">
        <v>0</v>
      </c>
      <c r="F282" t="s">
        <v>109</v>
      </c>
    </row>
    <row r="283" spans="1:6" x14ac:dyDescent="0.3">
      <c r="A283" t="s">
        <v>74</v>
      </c>
      <c r="B283">
        <v>2</v>
      </c>
      <c r="C283" t="s">
        <v>102</v>
      </c>
      <c r="D283">
        <v>10</v>
      </c>
      <c r="E283">
        <v>0</v>
      </c>
      <c r="F283" t="s">
        <v>109</v>
      </c>
    </row>
    <row r="284" spans="1:6" x14ac:dyDescent="0.3">
      <c r="A284" t="s">
        <v>74</v>
      </c>
      <c r="B284">
        <v>3</v>
      </c>
      <c r="C284" t="s">
        <v>97</v>
      </c>
      <c r="D284">
        <v>20</v>
      </c>
      <c r="E284">
        <v>0</v>
      </c>
      <c r="F284" t="s">
        <v>109</v>
      </c>
    </row>
    <row r="285" spans="1:6" x14ac:dyDescent="0.3">
      <c r="A285" t="s">
        <v>74</v>
      </c>
      <c r="B285">
        <v>3</v>
      </c>
      <c r="C285" t="s">
        <v>100</v>
      </c>
      <c r="D285">
        <v>0</v>
      </c>
      <c r="E285">
        <v>0</v>
      </c>
      <c r="F285" t="s">
        <v>109</v>
      </c>
    </row>
    <row r="286" spans="1:6" x14ac:dyDescent="0.3">
      <c r="A286" t="s">
        <v>74</v>
      </c>
      <c r="B286">
        <v>3</v>
      </c>
      <c r="C286" t="s">
        <v>102</v>
      </c>
      <c r="D286">
        <v>10</v>
      </c>
      <c r="E286">
        <v>0</v>
      </c>
      <c r="F286" t="s">
        <v>109</v>
      </c>
    </row>
    <row r="287" spans="1:6" x14ac:dyDescent="0.3">
      <c r="A287" t="s">
        <v>74</v>
      </c>
      <c r="B287">
        <v>4</v>
      </c>
      <c r="C287" t="s">
        <v>97</v>
      </c>
      <c r="D287">
        <v>20</v>
      </c>
      <c r="E287">
        <v>0</v>
      </c>
      <c r="F287" t="s">
        <v>109</v>
      </c>
    </row>
    <row r="288" spans="1:6" x14ac:dyDescent="0.3">
      <c r="A288" t="s">
        <v>74</v>
      </c>
      <c r="B288">
        <v>4</v>
      </c>
      <c r="C288" t="s">
        <v>100</v>
      </c>
      <c r="D288">
        <v>0</v>
      </c>
      <c r="E288">
        <v>0</v>
      </c>
      <c r="F288" t="s">
        <v>109</v>
      </c>
    </row>
    <row r="289" spans="1:6" x14ac:dyDescent="0.3">
      <c r="A289" t="s">
        <v>74</v>
      </c>
      <c r="B289">
        <v>4</v>
      </c>
      <c r="C289" t="s">
        <v>102</v>
      </c>
      <c r="D289">
        <v>10</v>
      </c>
      <c r="E289">
        <v>0</v>
      </c>
      <c r="F289" t="s">
        <v>109</v>
      </c>
    </row>
    <row r="290" spans="1:6" x14ac:dyDescent="0.3">
      <c r="A290" t="s">
        <v>70</v>
      </c>
      <c r="B290">
        <v>1</v>
      </c>
      <c r="C290" t="s">
        <v>97</v>
      </c>
      <c r="D290">
        <v>78.650000000000006</v>
      </c>
      <c r="E290">
        <v>10</v>
      </c>
      <c r="F290" t="s">
        <v>105</v>
      </c>
    </row>
    <row r="291" spans="1:6" x14ac:dyDescent="0.3">
      <c r="A291" t="s">
        <v>70</v>
      </c>
      <c r="B291">
        <v>1</v>
      </c>
      <c r="C291" t="s">
        <v>100</v>
      </c>
      <c r="D291">
        <v>65.180000000000007</v>
      </c>
      <c r="E291">
        <v>70</v>
      </c>
      <c r="F291" t="s">
        <v>105</v>
      </c>
    </row>
    <row r="292" spans="1:6" x14ac:dyDescent="0.3">
      <c r="A292" t="s">
        <v>70</v>
      </c>
      <c r="B292">
        <v>1</v>
      </c>
      <c r="C292" t="s">
        <v>102</v>
      </c>
      <c r="D292">
        <v>16.309999999999999</v>
      </c>
      <c r="E292">
        <v>70</v>
      </c>
      <c r="F292" t="s">
        <v>105</v>
      </c>
    </row>
    <row r="293" spans="1:6" x14ac:dyDescent="0.3">
      <c r="A293" t="s">
        <v>70</v>
      </c>
      <c r="B293">
        <v>2</v>
      </c>
      <c r="C293" t="s">
        <v>97</v>
      </c>
      <c r="D293">
        <v>52.88</v>
      </c>
      <c r="E293">
        <v>50</v>
      </c>
      <c r="F293" t="s">
        <v>107</v>
      </c>
    </row>
    <row r="294" spans="1:6" x14ac:dyDescent="0.3">
      <c r="A294" t="s">
        <v>70</v>
      </c>
      <c r="B294">
        <v>2</v>
      </c>
      <c r="C294" t="s">
        <v>100</v>
      </c>
      <c r="D294">
        <v>53.26</v>
      </c>
      <c r="E294">
        <v>60</v>
      </c>
      <c r="F294" t="s">
        <v>107</v>
      </c>
    </row>
    <row r="295" spans="1:6" x14ac:dyDescent="0.3">
      <c r="A295" t="s">
        <v>70</v>
      </c>
      <c r="B295">
        <v>2</v>
      </c>
      <c r="C295" t="s">
        <v>102</v>
      </c>
      <c r="D295">
        <v>49.23</v>
      </c>
      <c r="E295">
        <v>80</v>
      </c>
      <c r="F295" t="s">
        <v>107</v>
      </c>
    </row>
    <row r="296" spans="1:6" x14ac:dyDescent="0.3">
      <c r="A296" t="s">
        <v>70</v>
      </c>
      <c r="B296">
        <v>3</v>
      </c>
      <c r="C296" t="s">
        <v>97</v>
      </c>
      <c r="D296">
        <v>64.36</v>
      </c>
      <c r="E296">
        <v>20</v>
      </c>
      <c r="F296" t="s">
        <v>105</v>
      </c>
    </row>
    <row r="297" spans="1:6" x14ac:dyDescent="0.3">
      <c r="A297" t="s">
        <v>70</v>
      </c>
      <c r="B297">
        <v>3</v>
      </c>
      <c r="C297" t="s">
        <v>100</v>
      </c>
      <c r="D297">
        <v>69.42</v>
      </c>
      <c r="E297">
        <v>70</v>
      </c>
      <c r="F297" t="s">
        <v>105</v>
      </c>
    </row>
    <row r="298" spans="1:6" x14ac:dyDescent="0.3">
      <c r="A298" t="s">
        <v>70</v>
      </c>
      <c r="B298">
        <v>3</v>
      </c>
      <c r="C298" t="s">
        <v>102</v>
      </c>
      <c r="D298">
        <v>76.33</v>
      </c>
      <c r="E298">
        <v>10</v>
      </c>
      <c r="F298" t="s">
        <v>105</v>
      </c>
    </row>
    <row r="299" spans="1:6" x14ac:dyDescent="0.3">
      <c r="A299" t="s">
        <v>70</v>
      </c>
      <c r="B299">
        <v>4</v>
      </c>
      <c r="C299" t="s">
        <v>97</v>
      </c>
      <c r="D299">
        <v>62.76</v>
      </c>
      <c r="E299">
        <v>90</v>
      </c>
      <c r="F299" t="s">
        <v>107</v>
      </c>
    </row>
    <row r="300" spans="1:6" x14ac:dyDescent="0.3">
      <c r="A300" t="s">
        <v>70</v>
      </c>
      <c r="B300">
        <v>4</v>
      </c>
      <c r="C300" t="s">
        <v>100</v>
      </c>
      <c r="D300">
        <v>67.17</v>
      </c>
      <c r="E300">
        <v>80</v>
      </c>
      <c r="F300" t="s">
        <v>107</v>
      </c>
    </row>
    <row r="301" spans="1:6" x14ac:dyDescent="0.3">
      <c r="A301" t="s">
        <v>70</v>
      </c>
      <c r="B301">
        <v>4</v>
      </c>
      <c r="C301" t="s">
        <v>102</v>
      </c>
      <c r="D301">
        <v>59.13</v>
      </c>
      <c r="E301">
        <v>70</v>
      </c>
      <c r="F301" t="s">
        <v>107</v>
      </c>
    </row>
    <row r="302" spans="1:6" x14ac:dyDescent="0.3">
      <c r="A302" t="s">
        <v>71</v>
      </c>
      <c r="B302">
        <v>1</v>
      </c>
      <c r="C302" t="s">
        <v>97</v>
      </c>
      <c r="D302">
        <v>24.74</v>
      </c>
      <c r="E302">
        <v>10</v>
      </c>
      <c r="F302" t="s">
        <v>107</v>
      </c>
    </row>
    <row r="303" spans="1:6" x14ac:dyDescent="0.3">
      <c r="A303" t="s">
        <v>71</v>
      </c>
      <c r="B303">
        <v>1</v>
      </c>
      <c r="C303" t="s">
        <v>100</v>
      </c>
      <c r="D303">
        <v>35.58</v>
      </c>
      <c r="E303">
        <v>70</v>
      </c>
      <c r="F303" t="s">
        <v>107</v>
      </c>
    </row>
    <row r="304" spans="1:6" x14ac:dyDescent="0.3">
      <c r="A304" t="s">
        <v>71</v>
      </c>
      <c r="B304">
        <v>1</v>
      </c>
      <c r="C304" t="s">
        <v>102</v>
      </c>
      <c r="D304">
        <v>6.55</v>
      </c>
      <c r="E304">
        <v>10</v>
      </c>
      <c r="F304" t="s">
        <v>107</v>
      </c>
    </row>
    <row r="305" spans="1:6" x14ac:dyDescent="0.3">
      <c r="A305" t="s">
        <v>71</v>
      </c>
      <c r="B305">
        <v>2</v>
      </c>
      <c r="C305" t="s">
        <v>97</v>
      </c>
      <c r="D305">
        <v>55.03</v>
      </c>
      <c r="E305">
        <v>70</v>
      </c>
      <c r="F305" t="s">
        <v>105</v>
      </c>
    </row>
    <row r="306" spans="1:6" x14ac:dyDescent="0.3">
      <c r="A306" t="s">
        <v>71</v>
      </c>
      <c r="B306">
        <v>2</v>
      </c>
      <c r="C306" t="s">
        <v>100</v>
      </c>
      <c r="D306">
        <v>8.65</v>
      </c>
      <c r="E306">
        <v>0</v>
      </c>
      <c r="F306" t="s">
        <v>105</v>
      </c>
    </row>
    <row r="307" spans="1:6" x14ac:dyDescent="0.3">
      <c r="A307" t="s">
        <v>71</v>
      </c>
      <c r="B307">
        <v>2</v>
      </c>
      <c r="C307" t="s">
        <v>102</v>
      </c>
      <c r="D307">
        <v>20.77</v>
      </c>
      <c r="E307">
        <v>0</v>
      </c>
      <c r="F307" t="s">
        <v>105</v>
      </c>
    </row>
    <row r="308" spans="1:6" x14ac:dyDescent="0.3">
      <c r="A308" t="s">
        <v>71</v>
      </c>
      <c r="B308">
        <v>3</v>
      </c>
      <c r="C308" t="s">
        <v>97</v>
      </c>
      <c r="D308">
        <v>36.26</v>
      </c>
      <c r="E308">
        <v>30</v>
      </c>
      <c r="F308" t="s">
        <v>107</v>
      </c>
    </row>
    <row r="309" spans="1:6" x14ac:dyDescent="0.3">
      <c r="A309" t="s">
        <v>71</v>
      </c>
      <c r="B309">
        <v>3</v>
      </c>
      <c r="C309" t="s">
        <v>100</v>
      </c>
      <c r="D309">
        <v>0.53</v>
      </c>
      <c r="E309">
        <v>90</v>
      </c>
      <c r="F309" t="s">
        <v>107</v>
      </c>
    </row>
    <row r="310" spans="1:6" x14ac:dyDescent="0.3">
      <c r="A310" t="s">
        <v>71</v>
      </c>
      <c r="B310">
        <v>3</v>
      </c>
      <c r="C310" t="s">
        <v>102</v>
      </c>
      <c r="D310">
        <v>10.76</v>
      </c>
      <c r="E310">
        <v>60</v>
      </c>
      <c r="F310" t="s">
        <v>107</v>
      </c>
    </row>
    <row r="311" spans="1:6" x14ac:dyDescent="0.3">
      <c r="A311" t="s">
        <v>71</v>
      </c>
      <c r="B311">
        <v>4</v>
      </c>
      <c r="C311" t="s">
        <v>97</v>
      </c>
      <c r="D311">
        <v>0.4</v>
      </c>
      <c r="E311">
        <v>40</v>
      </c>
      <c r="F311" t="s">
        <v>105</v>
      </c>
    </row>
    <row r="312" spans="1:6" x14ac:dyDescent="0.3">
      <c r="A312" t="s">
        <v>71</v>
      </c>
      <c r="B312">
        <v>4</v>
      </c>
      <c r="C312" t="s">
        <v>100</v>
      </c>
      <c r="D312">
        <v>1.68</v>
      </c>
      <c r="E312">
        <v>0</v>
      </c>
      <c r="F312" t="s">
        <v>105</v>
      </c>
    </row>
    <row r="313" spans="1:6" x14ac:dyDescent="0.3">
      <c r="A313" t="s">
        <v>71</v>
      </c>
      <c r="B313">
        <v>4</v>
      </c>
      <c r="C313" t="s">
        <v>102</v>
      </c>
      <c r="D313">
        <v>92.51</v>
      </c>
      <c r="E313">
        <v>0</v>
      </c>
      <c r="F313" t="s">
        <v>105</v>
      </c>
    </row>
    <row r="314" spans="1:6" x14ac:dyDescent="0.3">
      <c r="A314" t="s">
        <v>72</v>
      </c>
      <c r="B314">
        <v>1</v>
      </c>
      <c r="C314" t="s">
        <v>97</v>
      </c>
      <c r="D314">
        <v>27.88</v>
      </c>
      <c r="E314">
        <v>0</v>
      </c>
      <c r="F314" t="s">
        <v>105</v>
      </c>
    </row>
    <row r="315" spans="1:6" x14ac:dyDescent="0.3">
      <c r="A315" t="s">
        <v>72</v>
      </c>
      <c r="B315">
        <v>1</v>
      </c>
      <c r="C315" t="s">
        <v>100</v>
      </c>
      <c r="D315">
        <v>32.03</v>
      </c>
      <c r="E315">
        <v>0</v>
      </c>
      <c r="F315" t="s">
        <v>105</v>
      </c>
    </row>
    <row r="316" spans="1:6" x14ac:dyDescent="0.3">
      <c r="A316" t="s">
        <v>72</v>
      </c>
      <c r="B316">
        <v>1</v>
      </c>
      <c r="C316" t="s">
        <v>102</v>
      </c>
      <c r="D316">
        <v>27.52</v>
      </c>
      <c r="E316">
        <v>0</v>
      </c>
      <c r="F316" t="s">
        <v>105</v>
      </c>
    </row>
    <row r="317" spans="1:6" x14ac:dyDescent="0.3">
      <c r="A317" t="s">
        <v>72</v>
      </c>
      <c r="B317">
        <v>2</v>
      </c>
      <c r="C317" t="s">
        <v>97</v>
      </c>
      <c r="D317">
        <v>85.89</v>
      </c>
      <c r="E317">
        <v>50</v>
      </c>
      <c r="F317" t="s">
        <v>105</v>
      </c>
    </row>
    <row r="318" spans="1:6" x14ac:dyDescent="0.3">
      <c r="A318" t="s">
        <v>72</v>
      </c>
      <c r="B318">
        <v>2</v>
      </c>
      <c r="C318" t="s">
        <v>100</v>
      </c>
      <c r="D318">
        <v>21.15</v>
      </c>
      <c r="E318">
        <v>0</v>
      </c>
      <c r="F318" t="s">
        <v>105</v>
      </c>
    </row>
    <row r="319" spans="1:6" x14ac:dyDescent="0.3">
      <c r="A319" t="s">
        <v>72</v>
      </c>
      <c r="B319">
        <v>2</v>
      </c>
      <c r="C319" t="s">
        <v>102</v>
      </c>
      <c r="D319">
        <v>62.11</v>
      </c>
      <c r="E319">
        <v>0</v>
      </c>
      <c r="F319" t="s">
        <v>105</v>
      </c>
    </row>
    <row r="320" spans="1:6" x14ac:dyDescent="0.3">
      <c r="A320" t="s">
        <v>72</v>
      </c>
      <c r="B320">
        <v>3</v>
      </c>
      <c r="C320" t="s">
        <v>97</v>
      </c>
      <c r="D320">
        <v>14.53</v>
      </c>
      <c r="E320">
        <v>0</v>
      </c>
      <c r="F320" t="s">
        <v>105</v>
      </c>
    </row>
    <row r="321" spans="1:6" x14ac:dyDescent="0.3">
      <c r="A321" t="s">
        <v>72</v>
      </c>
      <c r="B321">
        <v>3</v>
      </c>
      <c r="C321" t="s">
        <v>100</v>
      </c>
      <c r="D321">
        <v>4.2300000000000004</v>
      </c>
      <c r="E321">
        <v>0</v>
      </c>
      <c r="F321" t="s">
        <v>105</v>
      </c>
    </row>
    <row r="322" spans="1:6" x14ac:dyDescent="0.3">
      <c r="A322" t="s">
        <v>72</v>
      </c>
      <c r="B322">
        <v>3</v>
      </c>
      <c r="C322" t="s">
        <v>102</v>
      </c>
      <c r="D322">
        <v>6.86</v>
      </c>
      <c r="E322">
        <v>0</v>
      </c>
      <c r="F322" t="s">
        <v>105</v>
      </c>
    </row>
    <row r="323" spans="1:6" x14ac:dyDescent="0.3">
      <c r="A323" t="s">
        <v>72</v>
      </c>
      <c r="B323">
        <v>4</v>
      </c>
      <c r="C323" t="s">
        <v>97</v>
      </c>
      <c r="D323">
        <v>10.49</v>
      </c>
      <c r="E323">
        <v>20</v>
      </c>
      <c r="F323" t="s">
        <v>105</v>
      </c>
    </row>
    <row r="324" spans="1:6" x14ac:dyDescent="0.3">
      <c r="A324" t="s">
        <v>72</v>
      </c>
      <c r="B324">
        <v>4</v>
      </c>
      <c r="C324" t="s">
        <v>100</v>
      </c>
      <c r="D324">
        <v>4.6100000000000003</v>
      </c>
      <c r="E324">
        <v>40</v>
      </c>
      <c r="F324" t="s">
        <v>105</v>
      </c>
    </row>
    <row r="325" spans="1:6" x14ac:dyDescent="0.3">
      <c r="A325" t="s">
        <v>72</v>
      </c>
      <c r="B325">
        <v>4</v>
      </c>
      <c r="C325" t="s">
        <v>102</v>
      </c>
      <c r="D325">
        <v>57.55</v>
      </c>
      <c r="E325">
        <v>0</v>
      </c>
      <c r="F325" t="s">
        <v>105</v>
      </c>
    </row>
    <row r="326" spans="1:6" x14ac:dyDescent="0.3">
      <c r="A326" t="s">
        <v>73</v>
      </c>
      <c r="B326">
        <v>1</v>
      </c>
      <c r="C326" t="s">
        <v>97</v>
      </c>
      <c r="D326">
        <v>84.41</v>
      </c>
      <c r="E326">
        <v>70</v>
      </c>
      <c r="F326" t="s">
        <v>107</v>
      </c>
    </row>
    <row r="327" spans="1:6" x14ac:dyDescent="0.3">
      <c r="A327" t="s">
        <v>73</v>
      </c>
      <c r="B327">
        <v>1</v>
      </c>
      <c r="C327" t="s">
        <v>100</v>
      </c>
      <c r="D327">
        <v>65.45</v>
      </c>
      <c r="E327">
        <v>80</v>
      </c>
      <c r="F327" t="s">
        <v>107</v>
      </c>
    </row>
    <row r="328" spans="1:6" x14ac:dyDescent="0.3">
      <c r="A328" t="s">
        <v>73</v>
      </c>
      <c r="B328">
        <v>1</v>
      </c>
      <c r="C328" t="s">
        <v>102</v>
      </c>
      <c r="D328">
        <v>89.29</v>
      </c>
      <c r="E328">
        <v>0</v>
      </c>
      <c r="F328" t="s">
        <v>107</v>
      </c>
    </row>
    <row r="329" spans="1:6" x14ac:dyDescent="0.3">
      <c r="A329" t="s">
        <v>73</v>
      </c>
      <c r="B329">
        <v>2</v>
      </c>
      <c r="C329" t="s">
        <v>97</v>
      </c>
      <c r="D329">
        <v>59.71</v>
      </c>
      <c r="E329">
        <v>20</v>
      </c>
      <c r="F329" t="s">
        <v>105</v>
      </c>
    </row>
    <row r="330" spans="1:6" x14ac:dyDescent="0.3">
      <c r="A330" t="s">
        <v>73</v>
      </c>
      <c r="B330">
        <v>2</v>
      </c>
      <c r="C330" t="s">
        <v>100</v>
      </c>
      <c r="D330">
        <v>63.11</v>
      </c>
      <c r="E330">
        <v>60</v>
      </c>
      <c r="F330" t="s">
        <v>105</v>
      </c>
    </row>
    <row r="331" spans="1:6" x14ac:dyDescent="0.3">
      <c r="A331" t="s">
        <v>73</v>
      </c>
      <c r="B331">
        <v>2</v>
      </c>
      <c r="C331" t="s">
        <v>102</v>
      </c>
      <c r="D331">
        <v>77.12</v>
      </c>
      <c r="E331">
        <v>0</v>
      </c>
      <c r="F331" t="s">
        <v>105</v>
      </c>
    </row>
    <row r="332" spans="1:6" x14ac:dyDescent="0.3">
      <c r="A332" t="s">
        <v>73</v>
      </c>
      <c r="B332">
        <v>3</v>
      </c>
      <c r="C332" t="s">
        <v>97</v>
      </c>
      <c r="D332">
        <v>79.44</v>
      </c>
      <c r="E332">
        <v>40</v>
      </c>
      <c r="F332" t="s">
        <v>107</v>
      </c>
    </row>
    <row r="333" spans="1:6" x14ac:dyDescent="0.3">
      <c r="A333" t="s">
        <v>73</v>
      </c>
      <c r="B333">
        <v>3</v>
      </c>
      <c r="C333" t="s">
        <v>100</v>
      </c>
      <c r="D333">
        <v>30.12</v>
      </c>
      <c r="E333">
        <v>70</v>
      </c>
      <c r="F333" t="s">
        <v>107</v>
      </c>
    </row>
    <row r="334" spans="1:6" x14ac:dyDescent="0.3">
      <c r="A334" t="s">
        <v>73</v>
      </c>
      <c r="B334">
        <v>3</v>
      </c>
      <c r="C334" t="s">
        <v>102</v>
      </c>
      <c r="D334">
        <v>22.96</v>
      </c>
      <c r="E334">
        <v>40</v>
      </c>
      <c r="F334" t="s">
        <v>107</v>
      </c>
    </row>
    <row r="335" spans="1:6" x14ac:dyDescent="0.3">
      <c r="A335" t="s">
        <v>73</v>
      </c>
      <c r="B335">
        <v>4</v>
      </c>
      <c r="C335" t="s">
        <v>97</v>
      </c>
      <c r="D335">
        <v>38.56</v>
      </c>
      <c r="E335">
        <v>20</v>
      </c>
      <c r="F335" t="s">
        <v>105</v>
      </c>
    </row>
    <row r="336" spans="1:6" x14ac:dyDescent="0.3">
      <c r="A336" t="s">
        <v>73</v>
      </c>
      <c r="B336">
        <v>4</v>
      </c>
      <c r="C336" t="s">
        <v>100</v>
      </c>
      <c r="D336">
        <v>9.1300000000000008</v>
      </c>
      <c r="E336">
        <v>50</v>
      </c>
      <c r="F336" t="s">
        <v>105</v>
      </c>
    </row>
    <row r="337" spans="1:6" x14ac:dyDescent="0.3">
      <c r="A337" t="s">
        <v>73</v>
      </c>
      <c r="B337">
        <v>4</v>
      </c>
      <c r="C337" t="s">
        <v>102</v>
      </c>
      <c r="D337">
        <v>13.21</v>
      </c>
      <c r="E337">
        <v>0</v>
      </c>
      <c r="F337" t="s">
        <v>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6EBD4-C2B8-4970-8AFF-CAEEA971B6B1}">
  <dimension ref="A1:L151"/>
  <sheetViews>
    <sheetView topLeftCell="H1" workbookViewId="0">
      <selection activeCell="N23" sqref="N23:Q27"/>
    </sheetView>
  </sheetViews>
  <sheetFormatPr defaultRowHeight="14.4" x14ac:dyDescent="0.3"/>
  <cols>
    <col min="1" max="1" width="21.109375" bestFit="1" customWidth="1"/>
    <col min="2" max="2" width="8.5546875" bestFit="1" customWidth="1"/>
    <col min="3" max="3" width="7.6640625" bestFit="1" customWidth="1"/>
    <col min="4" max="4" width="15.44140625" bestFit="1" customWidth="1"/>
    <col min="5" max="5" width="16.5546875" bestFit="1" customWidth="1"/>
    <col min="6" max="6" width="19.44140625" bestFit="1" customWidth="1"/>
    <col min="8" max="8" width="21.109375" bestFit="1" customWidth="1"/>
    <col min="9" max="9" width="25.88671875" bestFit="1" customWidth="1"/>
    <col min="10" max="11" width="13" bestFit="1" customWidth="1"/>
    <col min="12" max="12" width="28" bestFit="1" customWidth="1"/>
  </cols>
  <sheetData>
    <row r="1" spans="1:12" x14ac:dyDescent="0.3">
      <c r="A1" s="2" t="s">
        <v>1</v>
      </c>
      <c r="B1" s="2" t="s">
        <v>91</v>
      </c>
      <c r="C1" s="2" t="s">
        <v>92</v>
      </c>
      <c r="D1" s="2" t="s">
        <v>93</v>
      </c>
      <c r="E1" s="14" t="s">
        <v>110</v>
      </c>
      <c r="F1" s="2" t="s">
        <v>94</v>
      </c>
      <c r="H1" s="2" t="s">
        <v>1</v>
      </c>
      <c r="I1" s="17" t="s">
        <v>16</v>
      </c>
      <c r="J1" s="2" t="s">
        <v>111</v>
      </c>
      <c r="K1" s="2" t="s">
        <v>112</v>
      </c>
      <c r="L1" s="17" t="s">
        <v>10</v>
      </c>
    </row>
    <row r="2" spans="1:12" x14ac:dyDescent="0.3">
      <c r="A2" t="s">
        <v>36</v>
      </c>
      <c r="B2">
        <v>2</v>
      </c>
      <c r="C2" t="s">
        <v>97</v>
      </c>
      <c r="D2">
        <v>68.22</v>
      </c>
      <c r="E2" s="15">
        <v>70</v>
      </c>
      <c r="F2">
        <v>30</v>
      </c>
      <c r="H2" t="s">
        <v>34</v>
      </c>
      <c r="I2" t="s">
        <v>99</v>
      </c>
      <c r="J2" t="s">
        <v>99</v>
      </c>
      <c r="K2" s="7" t="s">
        <v>99</v>
      </c>
    </row>
    <row r="3" spans="1:12" x14ac:dyDescent="0.3">
      <c r="A3" t="s">
        <v>36</v>
      </c>
      <c r="B3">
        <v>2</v>
      </c>
      <c r="C3" t="s">
        <v>100</v>
      </c>
      <c r="D3">
        <v>66.13</v>
      </c>
      <c r="E3" s="15">
        <v>50</v>
      </c>
      <c r="F3">
        <v>50</v>
      </c>
      <c r="H3" t="s">
        <v>36</v>
      </c>
      <c r="I3">
        <f>AVERAGE(E2:E7)</f>
        <v>36.666666666666664</v>
      </c>
      <c r="J3">
        <f>AVERAGE(F2:F7)</f>
        <v>63.333333333333336</v>
      </c>
      <c r="K3">
        <f t="shared" ref="K3:K24" si="0">100-J3-I3</f>
        <v>0</v>
      </c>
      <c r="L3" t="s">
        <v>38</v>
      </c>
    </row>
    <row r="4" spans="1:12" x14ac:dyDescent="0.3">
      <c r="A4" t="s">
        <v>36</v>
      </c>
      <c r="B4">
        <v>2</v>
      </c>
      <c r="C4" t="s">
        <v>102</v>
      </c>
      <c r="D4">
        <v>86.23</v>
      </c>
      <c r="E4" s="15">
        <v>10</v>
      </c>
      <c r="F4">
        <v>90</v>
      </c>
      <c r="H4" t="s">
        <v>39</v>
      </c>
      <c r="I4">
        <f>AVERAGE(E8:E13)</f>
        <v>35</v>
      </c>
      <c r="J4">
        <f>AVERAGE(F8:F13)</f>
        <v>65</v>
      </c>
      <c r="K4">
        <f t="shared" si="0"/>
        <v>0</v>
      </c>
      <c r="L4" t="s">
        <v>38</v>
      </c>
    </row>
    <row r="5" spans="1:12" x14ac:dyDescent="0.3">
      <c r="A5" t="s">
        <v>36</v>
      </c>
      <c r="B5">
        <v>4</v>
      </c>
      <c r="C5" t="s">
        <v>97</v>
      </c>
      <c r="D5">
        <v>86.38</v>
      </c>
      <c r="E5" s="15">
        <v>20</v>
      </c>
      <c r="F5">
        <v>80</v>
      </c>
      <c r="H5" t="s">
        <v>41</v>
      </c>
      <c r="I5">
        <f>AVERAGE(E14:E19)</f>
        <v>26.666666666666668</v>
      </c>
      <c r="J5">
        <f>AVERAGE(F14:F19)</f>
        <v>50</v>
      </c>
      <c r="K5">
        <f t="shared" si="0"/>
        <v>23.333333333333332</v>
      </c>
      <c r="L5" t="s">
        <v>38</v>
      </c>
    </row>
    <row r="6" spans="1:12" x14ac:dyDescent="0.3">
      <c r="A6" t="s">
        <v>36</v>
      </c>
      <c r="B6">
        <v>4</v>
      </c>
      <c r="C6" t="s">
        <v>100</v>
      </c>
      <c r="D6">
        <v>89.14</v>
      </c>
      <c r="E6" s="15">
        <v>10</v>
      </c>
      <c r="F6">
        <v>90</v>
      </c>
      <c r="H6" t="s">
        <v>42</v>
      </c>
      <c r="I6">
        <f>AVERAGE(E20:E25)</f>
        <v>20</v>
      </c>
      <c r="J6">
        <f>AVERAGE(F20:F25)</f>
        <v>80</v>
      </c>
      <c r="K6">
        <f t="shared" si="0"/>
        <v>0</v>
      </c>
      <c r="L6" t="s">
        <v>38</v>
      </c>
    </row>
    <row r="7" spans="1:12" x14ac:dyDescent="0.3">
      <c r="A7" t="s">
        <v>36</v>
      </c>
      <c r="B7">
        <v>4</v>
      </c>
      <c r="C7" t="s">
        <v>102</v>
      </c>
      <c r="D7">
        <v>85.07</v>
      </c>
      <c r="E7" s="15">
        <v>60</v>
      </c>
      <c r="F7">
        <v>40</v>
      </c>
      <c r="H7" t="s">
        <v>43</v>
      </c>
      <c r="I7">
        <f>AVERAGE(E26:E31)</f>
        <v>26.666666666666668</v>
      </c>
      <c r="J7">
        <f>AVERAGE(F26:F31)</f>
        <v>63.333333333333336</v>
      </c>
      <c r="K7">
        <f t="shared" si="0"/>
        <v>9.9999999999999964</v>
      </c>
      <c r="L7" t="s">
        <v>38</v>
      </c>
    </row>
    <row r="8" spans="1:12" x14ac:dyDescent="0.3">
      <c r="A8" t="s">
        <v>39</v>
      </c>
      <c r="B8">
        <v>2</v>
      </c>
      <c r="C8" t="s">
        <v>97</v>
      </c>
      <c r="D8" s="7">
        <v>1</v>
      </c>
      <c r="E8" s="15">
        <v>20</v>
      </c>
      <c r="F8">
        <v>80</v>
      </c>
      <c r="H8" t="s">
        <v>44</v>
      </c>
      <c r="I8">
        <f>AVERAGE(E32:E37)</f>
        <v>21.666666666666668</v>
      </c>
      <c r="J8">
        <f>AVERAGE(F32:F37)</f>
        <v>65</v>
      </c>
      <c r="K8">
        <f t="shared" si="0"/>
        <v>13.333333333333332</v>
      </c>
      <c r="L8" t="s">
        <v>38</v>
      </c>
    </row>
    <row r="9" spans="1:12" x14ac:dyDescent="0.3">
      <c r="A9" t="s">
        <v>39</v>
      </c>
      <c r="B9">
        <v>2</v>
      </c>
      <c r="C9" t="s">
        <v>100</v>
      </c>
      <c r="D9">
        <v>4.32</v>
      </c>
      <c r="E9" s="15">
        <v>10</v>
      </c>
      <c r="F9">
        <v>90</v>
      </c>
      <c r="H9" t="s">
        <v>45</v>
      </c>
      <c r="I9">
        <f>AVERAGE(E38:E43)</f>
        <v>49.166666666666664</v>
      </c>
      <c r="J9">
        <f>AVERAGE(F38:F43)</f>
        <v>49.166666666666664</v>
      </c>
      <c r="K9">
        <f t="shared" si="0"/>
        <v>1.6666666666666714</v>
      </c>
      <c r="L9" t="s">
        <v>46</v>
      </c>
    </row>
    <row r="10" spans="1:12" x14ac:dyDescent="0.3">
      <c r="A10" t="s">
        <v>39</v>
      </c>
      <c r="B10">
        <v>2</v>
      </c>
      <c r="C10" t="s">
        <v>102</v>
      </c>
      <c r="D10">
        <v>63.15</v>
      </c>
      <c r="E10" s="15">
        <v>60</v>
      </c>
      <c r="F10">
        <v>40</v>
      </c>
      <c r="H10" t="s">
        <v>47</v>
      </c>
      <c r="I10">
        <f>AVERAGE(E44:E49)</f>
        <v>41.666666666666664</v>
      </c>
      <c r="J10">
        <f>AVERAGE(F44:F49)</f>
        <v>36.666666666666664</v>
      </c>
      <c r="K10">
        <f t="shared" si="0"/>
        <v>21.666666666666671</v>
      </c>
      <c r="L10" t="s">
        <v>46</v>
      </c>
    </row>
    <row r="11" spans="1:12" x14ac:dyDescent="0.3">
      <c r="A11" t="s">
        <v>39</v>
      </c>
      <c r="B11">
        <v>4</v>
      </c>
      <c r="C11" t="s">
        <v>97</v>
      </c>
      <c r="D11">
        <v>96.64</v>
      </c>
      <c r="E11" s="15">
        <v>40</v>
      </c>
      <c r="F11">
        <v>60</v>
      </c>
      <c r="H11" t="s">
        <v>48</v>
      </c>
      <c r="I11">
        <f>AVERAGE(E50:E55)</f>
        <v>50</v>
      </c>
      <c r="J11">
        <f>AVERAGE(F50:F55)</f>
        <v>43.333333333333336</v>
      </c>
      <c r="K11">
        <f t="shared" si="0"/>
        <v>6.6666666666666643</v>
      </c>
      <c r="L11" t="s">
        <v>40</v>
      </c>
    </row>
    <row r="12" spans="1:12" x14ac:dyDescent="0.3">
      <c r="A12" t="s">
        <v>39</v>
      </c>
      <c r="B12">
        <v>4</v>
      </c>
      <c r="C12" t="s">
        <v>100</v>
      </c>
      <c r="D12">
        <v>16.38</v>
      </c>
      <c r="E12" s="15">
        <v>20</v>
      </c>
      <c r="F12">
        <v>80</v>
      </c>
      <c r="H12" t="s">
        <v>49</v>
      </c>
      <c r="I12">
        <f>AVERAGE(E56:E61)</f>
        <v>53.333333333333336</v>
      </c>
      <c r="J12">
        <f>AVERAGE(F56:F61)</f>
        <v>46.666666666666664</v>
      </c>
      <c r="K12">
        <f t="shared" si="0"/>
        <v>0</v>
      </c>
      <c r="L12" t="s">
        <v>40</v>
      </c>
    </row>
    <row r="13" spans="1:12" x14ac:dyDescent="0.3">
      <c r="A13" t="s">
        <v>39</v>
      </c>
      <c r="B13">
        <v>4</v>
      </c>
      <c r="C13" t="s">
        <v>102</v>
      </c>
      <c r="D13">
        <v>95.57</v>
      </c>
      <c r="E13" s="15">
        <v>60</v>
      </c>
      <c r="F13">
        <v>40</v>
      </c>
      <c r="H13" t="s">
        <v>50</v>
      </c>
      <c r="I13">
        <f>AVERAGE(E62:E67)</f>
        <v>55</v>
      </c>
      <c r="J13">
        <f>AVERAGE(F62:F67)</f>
        <v>40</v>
      </c>
      <c r="K13">
        <f t="shared" si="0"/>
        <v>5</v>
      </c>
      <c r="L13" t="s">
        <v>40</v>
      </c>
    </row>
    <row r="14" spans="1:12" x14ac:dyDescent="0.3">
      <c r="A14" t="s">
        <v>41</v>
      </c>
      <c r="B14">
        <v>2</v>
      </c>
      <c r="C14" t="s">
        <v>97</v>
      </c>
      <c r="D14" s="7">
        <v>47.5</v>
      </c>
      <c r="E14" s="15">
        <v>30</v>
      </c>
      <c r="F14">
        <v>10</v>
      </c>
      <c r="H14" t="s">
        <v>51</v>
      </c>
      <c r="I14">
        <f>AVERAGE(E68:E73)</f>
        <v>58.333333333333336</v>
      </c>
      <c r="J14">
        <f>AVERAGE(F68:F73)</f>
        <v>36.666666666666664</v>
      </c>
      <c r="K14">
        <f t="shared" si="0"/>
        <v>5</v>
      </c>
      <c r="L14" t="s">
        <v>40</v>
      </c>
    </row>
    <row r="15" spans="1:12" x14ac:dyDescent="0.3">
      <c r="A15" t="s">
        <v>41</v>
      </c>
      <c r="B15">
        <v>2</v>
      </c>
      <c r="C15" t="s">
        <v>100</v>
      </c>
      <c r="D15" s="7">
        <v>36.200000000000003</v>
      </c>
      <c r="E15" s="15">
        <v>10</v>
      </c>
      <c r="F15">
        <v>90</v>
      </c>
      <c r="H15" t="s">
        <v>52</v>
      </c>
      <c r="I15">
        <f>AVERAGE(E74:E79)</f>
        <v>65</v>
      </c>
      <c r="J15">
        <f>AVERAGE(F74:F79)</f>
        <v>35</v>
      </c>
      <c r="K15">
        <f t="shared" si="0"/>
        <v>0</v>
      </c>
      <c r="L15" t="s">
        <v>40</v>
      </c>
    </row>
    <row r="16" spans="1:12" x14ac:dyDescent="0.3">
      <c r="A16" t="s">
        <v>41</v>
      </c>
      <c r="B16">
        <v>2</v>
      </c>
      <c r="C16" t="s">
        <v>102</v>
      </c>
      <c r="D16">
        <v>46.32</v>
      </c>
      <c r="E16" s="15">
        <v>20</v>
      </c>
      <c r="F16">
        <v>80</v>
      </c>
      <c r="H16" t="s">
        <v>53</v>
      </c>
      <c r="I16">
        <f>AVERAGE(E80:E85)</f>
        <v>53.333333333333336</v>
      </c>
      <c r="J16">
        <f>AVERAGE(F80:F85)</f>
        <v>46.666666666666664</v>
      </c>
      <c r="K16">
        <f t="shared" si="0"/>
        <v>0</v>
      </c>
      <c r="L16" t="s">
        <v>40</v>
      </c>
    </row>
    <row r="17" spans="1:12" x14ac:dyDescent="0.3">
      <c r="A17" t="s">
        <v>41</v>
      </c>
      <c r="B17">
        <v>4</v>
      </c>
      <c r="C17" t="s">
        <v>97</v>
      </c>
      <c r="D17">
        <v>33.49</v>
      </c>
      <c r="E17" s="15">
        <v>60</v>
      </c>
      <c r="F17">
        <v>20</v>
      </c>
      <c r="H17" t="s">
        <v>54</v>
      </c>
      <c r="I17">
        <f>AVERAGE(E86:E91)</f>
        <v>20</v>
      </c>
      <c r="J17">
        <f>AVERAGE(F86:F91)</f>
        <v>63.333333333333336</v>
      </c>
      <c r="K17">
        <f t="shared" si="0"/>
        <v>16.666666666666664</v>
      </c>
      <c r="L17" t="s">
        <v>38</v>
      </c>
    </row>
    <row r="18" spans="1:12" x14ac:dyDescent="0.3">
      <c r="A18" t="s">
        <v>41</v>
      </c>
      <c r="B18">
        <v>4</v>
      </c>
      <c r="C18" t="s">
        <v>100</v>
      </c>
      <c r="D18">
        <v>31.29</v>
      </c>
      <c r="E18" s="15">
        <v>30</v>
      </c>
      <c r="F18">
        <v>10</v>
      </c>
      <c r="H18" t="s">
        <v>55</v>
      </c>
      <c r="I18">
        <f>AVERAGE(E92:E97)</f>
        <v>35</v>
      </c>
      <c r="J18">
        <f>AVERAGE(F92:F97)</f>
        <v>36.666666666666664</v>
      </c>
      <c r="K18">
        <f t="shared" si="0"/>
        <v>28.333333333333336</v>
      </c>
      <c r="L18" t="s">
        <v>46</v>
      </c>
    </row>
    <row r="19" spans="1:12" x14ac:dyDescent="0.3">
      <c r="A19" t="s">
        <v>41</v>
      </c>
      <c r="B19">
        <v>4</v>
      </c>
      <c r="C19" t="s">
        <v>102</v>
      </c>
      <c r="D19">
        <v>31.84</v>
      </c>
      <c r="E19" s="15">
        <v>10</v>
      </c>
      <c r="F19">
        <v>90</v>
      </c>
      <c r="H19" t="s">
        <v>56</v>
      </c>
      <c r="I19">
        <f>AVERAGE(E98:E103)</f>
        <v>30</v>
      </c>
      <c r="J19">
        <f>AVERAGE(F98:F103)</f>
        <v>70</v>
      </c>
      <c r="K19">
        <f t="shared" si="0"/>
        <v>0</v>
      </c>
      <c r="L19" t="s">
        <v>38</v>
      </c>
    </row>
    <row r="20" spans="1:12" x14ac:dyDescent="0.3">
      <c r="A20" t="s">
        <v>42</v>
      </c>
      <c r="B20">
        <v>1</v>
      </c>
      <c r="C20" t="s">
        <v>97</v>
      </c>
      <c r="D20">
        <v>1.64</v>
      </c>
      <c r="E20" s="15">
        <v>20</v>
      </c>
      <c r="F20">
        <v>80</v>
      </c>
      <c r="H20" t="s">
        <v>57</v>
      </c>
      <c r="I20">
        <f>AVERAGE(E104:E109)</f>
        <v>45</v>
      </c>
      <c r="J20">
        <f>AVERAGE(F104:F109)</f>
        <v>55</v>
      </c>
      <c r="K20">
        <f t="shared" si="0"/>
        <v>0</v>
      </c>
      <c r="L20" t="s">
        <v>38</v>
      </c>
    </row>
    <row r="21" spans="1:12" x14ac:dyDescent="0.3">
      <c r="A21" t="s">
        <v>42</v>
      </c>
      <c r="B21">
        <v>1</v>
      </c>
      <c r="C21" t="s">
        <v>102</v>
      </c>
      <c r="D21">
        <v>44.05</v>
      </c>
      <c r="E21" s="15">
        <v>30</v>
      </c>
      <c r="F21">
        <v>70</v>
      </c>
      <c r="H21" t="s">
        <v>58</v>
      </c>
      <c r="I21">
        <f>AVERAGE(E110:E115)</f>
        <v>81.666666666666671</v>
      </c>
      <c r="J21">
        <f t="shared" ref="J21" si="1">AVERAGE(F110:F115)</f>
        <v>18.333333333333332</v>
      </c>
      <c r="K21">
        <f t="shared" si="0"/>
        <v>0</v>
      </c>
      <c r="L21" t="s">
        <v>40</v>
      </c>
    </row>
    <row r="22" spans="1:12" x14ac:dyDescent="0.3">
      <c r="A22" t="s">
        <v>42</v>
      </c>
      <c r="B22">
        <v>3</v>
      </c>
      <c r="C22" t="s">
        <v>97</v>
      </c>
      <c r="D22">
        <v>8.31</v>
      </c>
      <c r="E22" s="15">
        <v>20</v>
      </c>
      <c r="F22">
        <v>80</v>
      </c>
      <c r="H22" t="s">
        <v>59</v>
      </c>
      <c r="I22">
        <f>AVERAGE(E116:E121)</f>
        <v>46.666666666666664</v>
      </c>
      <c r="J22">
        <f>AVERAGE(F116:F121)</f>
        <v>53.333333333333336</v>
      </c>
      <c r="K22">
        <f t="shared" si="0"/>
        <v>0</v>
      </c>
      <c r="L22" t="s">
        <v>38</v>
      </c>
    </row>
    <row r="23" spans="1:12" x14ac:dyDescent="0.3">
      <c r="A23" t="s">
        <v>42</v>
      </c>
      <c r="B23">
        <v>3</v>
      </c>
      <c r="C23" t="s">
        <v>100</v>
      </c>
      <c r="D23">
        <v>60.32</v>
      </c>
      <c r="E23" s="15">
        <v>20</v>
      </c>
      <c r="F23">
        <v>80</v>
      </c>
      <c r="H23" t="s">
        <v>60</v>
      </c>
      <c r="I23">
        <f>AVERAGE(E122:E127)</f>
        <v>35</v>
      </c>
      <c r="J23">
        <f>AVERAGE(F122:F127)</f>
        <v>65</v>
      </c>
      <c r="K23">
        <f t="shared" si="0"/>
        <v>0</v>
      </c>
      <c r="L23" t="s">
        <v>38</v>
      </c>
    </row>
    <row r="24" spans="1:12" x14ac:dyDescent="0.3">
      <c r="A24" t="s">
        <v>42</v>
      </c>
      <c r="B24">
        <v>1</v>
      </c>
      <c r="C24" t="s">
        <v>100</v>
      </c>
      <c r="D24">
        <v>12.31</v>
      </c>
      <c r="E24" s="15">
        <v>10</v>
      </c>
      <c r="F24">
        <v>100</v>
      </c>
      <c r="H24" t="s">
        <v>61</v>
      </c>
      <c r="I24">
        <f>AVERAGE(E128:E133)</f>
        <v>40</v>
      </c>
      <c r="J24">
        <f>AVERAGE(F128:F133)</f>
        <v>60</v>
      </c>
      <c r="K24">
        <f t="shared" si="0"/>
        <v>0</v>
      </c>
      <c r="L24" t="s">
        <v>38</v>
      </c>
    </row>
    <row r="25" spans="1:12" x14ac:dyDescent="0.3">
      <c r="A25" t="s">
        <v>42</v>
      </c>
      <c r="B25">
        <v>3</v>
      </c>
      <c r="C25" t="s">
        <v>102</v>
      </c>
      <c r="D25">
        <v>52.52</v>
      </c>
      <c r="E25" s="15">
        <v>20</v>
      </c>
      <c r="F25">
        <v>70</v>
      </c>
      <c r="H25" t="s">
        <v>74</v>
      </c>
      <c r="I25" t="s">
        <v>63</v>
      </c>
      <c r="J25" t="s">
        <v>63</v>
      </c>
      <c r="K25" t="s">
        <v>63</v>
      </c>
      <c r="L25" t="s">
        <v>63</v>
      </c>
    </row>
    <row r="26" spans="1:12" x14ac:dyDescent="0.3">
      <c r="A26" t="s">
        <v>43</v>
      </c>
      <c r="B26">
        <v>2</v>
      </c>
      <c r="C26" t="s">
        <v>97</v>
      </c>
      <c r="D26">
        <v>67.59</v>
      </c>
      <c r="E26" s="15">
        <v>30</v>
      </c>
      <c r="F26">
        <v>70</v>
      </c>
      <c r="H26" t="s">
        <v>70</v>
      </c>
      <c r="I26">
        <f>AVERAGE(E134:E139)</f>
        <v>28.333333333333332</v>
      </c>
      <c r="J26">
        <f t="shared" ref="J26" si="2">AVERAGE(F134:F139)</f>
        <v>71.666666666666671</v>
      </c>
      <c r="K26">
        <f>100-J26-I26</f>
        <v>0</v>
      </c>
      <c r="L26" t="s">
        <v>38</v>
      </c>
    </row>
    <row r="27" spans="1:12" x14ac:dyDescent="0.3">
      <c r="A27" t="s">
        <v>43</v>
      </c>
      <c r="B27">
        <v>2</v>
      </c>
      <c r="C27" t="s">
        <v>102</v>
      </c>
      <c r="D27">
        <v>24.5</v>
      </c>
      <c r="E27" s="15">
        <v>50</v>
      </c>
      <c r="F27">
        <v>40</v>
      </c>
      <c r="H27" t="s">
        <v>71</v>
      </c>
      <c r="I27">
        <f>AVERAGE(E140:E145)</f>
        <v>45</v>
      </c>
      <c r="J27">
        <f>AVERAGE(F140:F145)</f>
        <v>55</v>
      </c>
      <c r="K27">
        <f>100-J27-I27</f>
        <v>0</v>
      </c>
      <c r="L27" t="s">
        <v>38</v>
      </c>
    </row>
    <row r="28" spans="1:12" x14ac:dyDescent="0.3">
      <c r="A28" t="s">
        <v>43</v>
      </c>
      <c r="B28">
        <v>4</v>
      </c>
      <c r="C28" t="s">
        <v>97</v>
      </c>
      <c r="D28">
        <v>69.14</v>
      </c>
      <c r="E28" s="15">
        <v>30</v>
      </c>
      <c r="F28">
        <v>70</v>
      </c>
      <c r="H28" t="s">
        <v>72</v>
      </c>
      <c r="I28" t="s">
        <v>63</v>
      </c>
      <c r="J28" t="s">
        <v>63</v>
      </c>
      <c r="K28" t="s">
        <v>63</v>
      </c>
      <c r="L28" t="s">
        <v>63</v>
      </c>
    </row>
    <row r="29" spans="1:12" x14ac:dyDescent="0.3">
      <c r="A29" t="s">
        <v>43</v>
      </c>
      <c r="B29">
        <v>4</v>
      </c>
      <c r="C29" t="s">
        <v>100</v>
      </c>
      <c r="D29">
        <v>47.65</v>
      </c>
      <c r="E29" s="15">
        <v>10</v>
      </c>
      <c r="F29">
        <v>80</v>
      </c>
      <c r="H29" t="s">
        <v>73</v>
      </c>
      <c r="I29">
        <f>AVERAGE(E146:E151)</f>
        <v>50</v>
      </c>
      <c r="J29">
        <f>AVERAGE(F146:F151)</f>
        <v>50</v>
      </c>
      <c r="K29">
        <v>0</v>
      </c>
      <c r="L29" t="s">
        <v>46</v>
      </c>
    </row>
    <row r="30" spans="1:12" x14ac:dyDescent="0.3">
      <c r="A30" t="s">
        <v>43</v>
      </c>
      <c r="B30">
        <v>2</v>
      </c>
      <c r="C30" t="s">
        <v>100</v>
      </c>
      <c r="D30">
        <v>45.52</v>
      </c>
      <c r="E30" s="15">
        <v>20</v>
      </c>
      <c r="F30">
        <v>60</v>
      </c>
    </row>
    <row r="31" spans="1:12" x14ac:dyDescent="0.3">
      <c r="A31" t="s">
        <v>43</v>
      </c>
      <c r="B31">
        <v>4</v>
      </c>
      <c r="C31" t="s">
        <v>102</v>
      </c>
      <c r="D31">
        <v>27.42</v>
      </c>
      <c r="E31" s="15">
        <v>20</v>
      </c>
      <c r="F31">
        <v>60</v>
      </c>
    </row>
    <row r="32" spans="1:12" x14ac:dyDescent="0.3">
      <c r="A32" t="s">
        <v>44</v>
      </c>
      <c r="B32">
        <v>2</v>
      </c>
      <c r="C32" t="s">
        <v>97</v>
      </c>
      <c r="D32" s="7">
        <v>1</v>
      </c>
      <c r="E32" s="15">
        <v>10</v>
      </c>
      <c r="F32">
        <v>90</v>
      </c>
    </row>
    <row r="33" spans="1:6" x14ac:dyDescent="0.3">
      <c r="A33" t="s">
        <v>44</v>
      </c>
      <c r="B33">
        <v>2</v>
      </c>
      <c r="C33" t="s">
        <v>102</v>
      </c>
      <c r="D33">
        <v>4.1500000000000004</v>
      </c>
      <c r="E33" s="15">
        <v>50</v>
      </c>
      <c r="F33">
        <v>50</v>
      </c>
    </row>
    <row r="34" spans="1:6" x14ac:dyDescent="0.3">
      <c r="A34" t="s">
        <v>44</v>
      </c>
      <c r="B34">
        <v>4</v>
      </c>
      <c r="C34" t="s">
        <v>97</v>
      </c>
      <c r="D34" s="7">
        <v>0</v>
      </c>
      <c r="E34" s="15">
        <v>10</v>
      </c>
      <c r="F34">
        <v>90</v>
      </c>
    </row>
    <row r="35" spans="1:6" x14ac:dyDescent="0.3">
      <c r="A35" t="s">
        <v>44</v>
      </c>
      <c r="B35">
        <v>4</v>
      </c>
      <c r="C35" t="s">
        <v>100</v>
      </c>
      <c r="D35">
        <v>5.0599999999999996</v>
      </c>
      <c r="E35" s="15">
        <v>20</v>
      </c>
      <c r="F35">
        <v>40</v>
      </c>
    </row>
    <row r="36" spans="1:6" x14ac:dyDescent="0.3">
      <c r="A36" t="s">
        <v>44</v>
      </c>
      <c r="B36">
        <v>2</v>
      </c>
      <c r="C36" t="s">
        <v>100</v>
      </c>
      <c r="D36" s="7">
        <v>0</v>
      </c>
      <c r="E36" s="15">
        <v>20</v>
      </c>
      <c r="F36">
        <v>80</v>
      </c>
    </row>
    <row r="37" spans="1:6" x14ac:dyDescent="0.3">
      <c r="A37" t="s">
        <v>44</v>
      </c>
      <c r="B37">
        <v>4</v>
      </c>
      <c r="C37" t="s">
        <v>102</v>
      </c>
      <c r="D37">
        <v>80.260000000000005</v>
      </c>
      <c r="E37" s="15">
        <v>20</v>
      </c>
      <c r="F37">
        <v>40</v>
      </c>
    </row>
    <row r="38" spans="1:6" x14ac:dyDescent="0.3">
      <c r="A38" t="s">
        <v>45</v>
      </c>
      <c r="B38">
        <v>1</v>
      </c>
      <c r="C38" t="s">
        <v>97</v>
      </c>
      <c r="D38">
        <v>76.56</v>
      </c>
      <c r="E38" s="15">
        <v>60</v>
      </c>
      <c r="F38">
        <v>40</v>
      </c>
    </row>
    <row r="39" spans="1:6" x14ac:dyDescent="0.3">
      <c r="A39" t="s">
        <v>45</v>
      </c>
      <c r="B39">
        <v>1</v>
      </c>
      <c r="C39" t="s">
        <v>100</v>
      </c>
      <c r="D39">
        <v>67.760000000000005</v>
      </c>
      <c r="E39" s="15">
        <v>10</v>
      </c>
      <c r="F39">
        <v>90</v>
      </c>
    </row>
    <row r="40" spans="1:6" x14ac:dyDescent="0.3">
      <c r="A40" t="s">
        <v>45</v>
      </c>
      <c r="B40">
        <v>1</v>
      </c>
      <c r="C40" t="s">
        <v>102</v>
      </c>
      <c r="D40">
        <v>35.69</v>
      </c>
      <c r="E40" s="15">
        <v>30</v>
      </c>
      <c r="F40">
        <v>70</v>
      </c>
    </row>
    <row r="41" spans="1:6" x14ac:dyDescent="0.3">
      <c r="A41" t="s">
        <v>45</v>
      </c>
      <c r="B41">
        <v>3</v>
      </c>
      <c r="C41" t="s">
        <v>97</v>
      </c>
      <c r="D41" s="7">
        <v>1.7</v>
      </c>
      <c r="E41" s="15">
        <v>95</v>
      </c>
      <c r="F41">
        <v>5</v>
      </c>
    </row>
    <row r="42" spans="1:6" x14ac:dyDescent="0.3">
      <c r="A42" t="s">
        <v>45</v>
      </c>
      <c r="B42">
        <v>3</v>
      </c>
      <c r="C42" t="s">
        <v>100</v>
      </c>
      <c r="D42">
        <v>4.3499999999999996</v>
      </c>
      <c r="E42" s="15">
        <v>20</v>
      </c>
      <c r="F42">
        <v>80</v>
      </c>
    </row>
    <row r="43" spans="1:6" x14ac:dyDescent="0.3">
      <c r="A43" t="s">
        <v>45</v>
      </c>
      <c r="B43">
        <v>3</v>
      </c>
      <c r="C43" t="s">
        <v>102</v>
      </c>
      <c r="D43">
        <v>17.41</v>
      </c>
      <c r="E43" s="15">
        <v>80</v>
      </c>
      <c r="F43">
        <v>10</v>
      </c>
    </row>
    <row r="44" spans="1:6" x14ac:dyDescent="0.3">
      <c r="A44" t="s">
        <v>47</v>
      </c>
      <c r="B44">
        <v>1</v>
      </c>
      <c r="C44" t="s">
        <v>97</v>
      </c>
      <c r="D44" s="7">
        <v>41.7</v>
      </c>
      <c r="E44" s="15">
        <v>20</v>
      </c>
      <c r="F44">
        <v>80</v>
      </c>
    </row>
    <row r="45" spans="1:6" x14ac:dyDescent="0.3">
      <c r="A45" t="s">
        <v>47</v>
      </c>
      <c r="B45">
        <v>1</v>
      </c>
      <c r="C45" t="s">
        <v>100</v>
      </c>
      <c r="D45">
        <v>9.15</v>
      </c>
      <c r="E45" s="15">
        <v>20</v>
      </c>
      <c r="F45">
        <v>0</v>
      </c>
    </row>
    <row r="46" spans="1:6" x14ac:dyDescent="0.3">
      <c r="A46" t="s">
        <v>47</v>
      </c>
      <c r="B46">
        <v>1</v>
      </c>
      <c r="C46" t="s">
        <v>102</v>
      </c>
      <c r="D46">
        <v>64.66</v>
      </c>
      <c r="E46" s="15">
        <v>40</v>
      </c>
      <c r="F46">
        <v>10</v>
      </c>
    </row>
    <row r="47" spans="1:6" x14ac:dyDescent="0.3">
      <c r="A47" t="s">
        <v>47</v>
      </c>
      <c r="B47">
        <v>3</v>
      </c>
      <c r="C47" t="s">
        <v>97</v>
      </c>
      <c r="D47">
        <v>50.16</v>
      </c>
      <c r="E47" s="15">
        <v>70</v>
      </c>
      <c r="F47">
        <v>30</v>
      </c>
    </row>
    <row r="48" spans="1:6" x14ac:dyDescent="0.3">
      <c r="A48" t="s">
        <v>47</v>
      </c>
      <c r="B48">
        <v>3</v>
      </c>
      <c r="C48" t="s">
        <v>100</v>
      </c>
      <c r="D48">
        <v>24.37</v>
      </c>
      <c r="E48" s="15">
        <v>20</v>
      </c>
      <c r="F48">
        <v>80</v>
      </c>
    </row>
    <row r="49" spans="1:6" x14ac:dyDescent="0.3">
      <c r="A49" t="s">
        <v>47</v>
      </c>
      <c r="B49">
        <v>3</v>
      </c>
      <c r="C49" t="s">
        <v>102</v>
      </c>
      <c r="D49">
        <v>74.75</v>
      </c>
      <c r="E49" s="15">
        <v>80</v>
      </c>
      <c r="F49">
        <v>20</v>
      </c>
    </row>
    <row r="50" spans="1:6" x14ac:dyDescent="0.3">
      <c r="A50" t="s">
        <v>48</v>
      </c>
      <c r="B50">
        <v>2</v>
      </c>
      <c r="C50" t="s">
        <v>97</v>
      </c>
      <c r="D50">
        <v>90.96</v>
      </c>
      <c r="E50" s="15">
        <v>40</v>
      </c>
      <c r="F50">
        <v>60</v>
      </c>
    </row>
    <row r="51" spans="1:6" x14ac:dyDescent="0.3">
      <c r="A51" t="s">
        <v>48</v>
      </c>
      <c r="B51">
        <v>2</v>
      </c>
      <c r="C51" t="s">
        <v>100</v>
      </c>
      <c r="D51">
        <v>47.12</v>
      </c>
      <c r="E51" s="15">
        <v>10</v>
      </c>
      <c r="F51">
        <v>90</v>
      </c>
    </row>
    <row r="52" spans="1:6" x14ac:dyDescent="0.3">
      <c r="A52" t="s">
        <v>48</v>
      </c>
      <c r="B52">
        <v>2</v>
      </c>
      <c r="C52" t="s">
        <v>102</v>
      </c>
      <c r="D52">
        <v>73.040000000000006</v>
      </c>
      <c r="E52" s="15">
        <v>100</v>
      </c>
      <c r="F52">
        <v>0</v>
      </c>
    </row>
    <row r="53" spans="1:6" x14ac:dyDescent="0.3">
      <c r="A53" t="s">
        <v>48</v>
      </c>
      <c r="B53">
        <v>4</v>
      </c>
      <c r="C53" t="s">
        <v>97</v>
      </c>
      <c r="D53">
        <v>71.13</v>
      </c>
      <c r="E53" s="15">
        <v>40</v>
      </c>
      <c r="F53">
        <v>60</v>
      </c>
    </row>
    <row r="54" spans="1:6" x14ac:dyDescent="0.3">
      <c r="A54" t="s">
        <v>48</v>
      </c>
      <c r="B54">
        <v>4</v>
      </c>
      <c r="C54" t="s">
        <v>100</v>
      </c>
      <c r="D54">
        <v>53.48</v>
      </c>
      <c r="E54" s="15">
        <v>30</v>
      </c>
      <c r="F54">
        <v>30</v>
      </c>
    </row>
    <row r="55" spans="1:6" x14ac:dyDescent="0.3">
      <c r="A55" t="s">
        <v>48</v>
      </c>
      <c r="B55">
        <v>4</v>
      </c>
      <c r="C55" t="s">
        <v>102</v>
      </c>
      <c r="D55">
        <v>90.85</v>
      </c>
      <c r="E55" s="15">
        <v>80</v>
      </c>
      <c r="F55">
        <v>20</v>
      </c>
    </row>
    <row r="56" spans="1:6" x14ac:dyDescent="0.3">
      <c r="A56" t="s">
        <v>49</v>
      </c>
      <c r="B56">
        <v>2</v>
      </c>
      <c r="C56" t="s">
        <v>97</v>
      </c>
      <c r="D56">
        <v>68.959999999999994</v>
      </c>
      <c r="E56" s="15">
        <v>100</v>
      </c>
      <c r="F56">
        <v>0</v>
      </c>
    </row>
    <row r="57" spans="1:6" x14ac:dyDescent="0.3">
      <c r="A57" t="s">
        <v>49</v>
      </c>
      <c r="B57">
        <v>2</v>
      </c>
      <c r="C57" t="s">
        <v>100</v>
      </c>
      <c r="D57">
        <v>61.24</v>
      </c>
      <c r="E57" s="15">
        <v>30</v>
      </c>
      <c r="F57">
        <v>70</v>
      </c>
    </row>
    <row r="58" spans="1:6" x14ac:dyDescent="0.3">
      <c r="A58" t="s">
        <v>49</v>
      </c>
      <c r="B58">
        <v>2</v>
      </c>
      <c r="C58" t="s">
        <v>102</v>
      </c>
      <c r="D58">
        <v>52.26</v>
      </c>
      <c r="E58" s="15">
        <v>100</v>
      </c>
      <c r="F58">
        <v>0</v>
      </c>
    </row>
    <row r="59" spans="1:6" x14ac:dyDescent="0.3">
      <c r="A59" t="s">
        <v>49</v>
      </c>
      <c r="B59">
        <v>4</v>
      </c>
      <c r="C59" t="s">
        <v>97</v>
      </c>
      <c r="D59" s="7">
        <v>78.400000000000006</v>
      </c>
      <c r="E59" s="15">
        <v>40</v>
      </c>
      <c r="F59">
        <v>60</v>
      </c>
    </row>
    <row r="60" spans="1:6" x14ac:dyDescent="0.3">
      <c r="A60" t="s">
        <v>49</v>
      </c>
      <c r="B60">
        <v>4</v>
      </c>
      <c r="C60" t="s">
        <v>100</v>
      </c>
      <c r="D60">
        <v>81.42</v>
      </c>
      <c r="E60" s="15">
        <v>20</v>
      </c>
      <c r="F60">
        <v>80</v>
      </c>
    </row>
    <row r="61" spans="1:6" x14ac:dyDescent="0.3">
      <c r="A61" t="s">
        <v>49</v>
      </c>
      <c r="B61">
        <v>4</v>
      </c>
      <c r="C61" t="s">
        <v>102</v>
      </c>
      <c r="D61">
        <v>68.540000000000006</v>
      </c>
      <c r="E61" s="15">
        <v>30</v>
      </c>
      <c r="F61">
        <v>70</v>
      </c>
    </row>
    <row r="62" spans="1:6" x14ac:dyDescent="0.3">
      <c r="A62" t="s">
        <v>50</v>
      </c>
      <c r="B62">
        <v>1</v>
      </c>
      <c r="C62" t="s">
        <v>97</v>
      </c>
      <c r="D62">
        <v>90.87</v>
      </c>
      <c r="E62" s="15">
        <v>90</v>
      </c>
      <c r="F62">
        <v>10</v>
      </c>
    </row>
    <row r="63" spans="1:6" x14ac:dyDescent="0.3">
      <c r="A63" t="s">
        <v>50</v>
      </c>
      <c r="B63">
        <v>1</v>
      </c>
      <c r="C63" t="s">
        <v>102</v>
      </c>
      <c r="D63">
        <v>89.92</v>
      </c>
      <c r="E63" s="15">
        <v>70</v>
      </c>
      <c r="F63">
        <v>20</v>
      </c>
    </row>
    <row r="64" spans="1:6" x14ac:dyDescent="0.3">
      <c r="A64" t="s">
        <v>50</v>
      </c>
      <c r="B64">
        <v>3</v>
      </c>
      <c r="C64" t="s">
        <v>97</v>
      </c>
      <c r="D64">
        <v>53.33</v>
      </c>
      <c r="E64" s="15">
        <v>30</v>
      </c>
      <c r="F64">
        <v>70</v>
      </c>
    </row>
    <row r="65" spans="1:6" x14ac:dyDescent="0.3">
      <c r="A65" t="s">
        <v>50</v>
      </c>
      <c r="B65">
        <v>3</v>
      </c>
      <c r="C65" t="s">
        <v>100</v>
      </c>
      <c r="D65">
        <v>58.21</v>
      </c>
      <c r="E65" s="15">
        <v>40</v>
      </c>
      <c r="F65">
        <v>60</v>
      </c>
    </row>
    <row r="66" spans="1:6" x14ac:dyDescent="0.3">
      <c r="A66" t="s">
        <v>50</v>
      </c>
      <c r="B66">
        <v>1</v>
      </c>
      <c r="C66" t="s">
        <v>100</v>
      </c>
      <c r="D66" s="7">
        <v>91.7</v>
      </c>
      <c r="E66" s="15">
        <v>30</v>
      </c>
      <c r="F66">
        <v>50</v>
      </c>
    </row>
    <row r="67" spans="1:6" x14ac:dyDescent="0.3">
      <c r="A67" t="s">
        <v>50</v>
      </c>
      <c r="B67">
        <v>3</v>
      </c>
      <c r="C67" t="s">
        <v>102</v>
      </c>
      <c r="D67">
        <v>70.430000000000007</v>
      </c>
      <c r="E67" s="15">
        <v>70</v>
      </c>
      <c r="F67">
        <v>30</v>
      </c>
    </row>
    <row r="68" spans="1:6" x14ac:dyDescent="0.3">
      <c r="A68" t="s">
        <v>51</v>
      </c>
      <c r="B68">
        <v>2</v>
      </c>
      <c r="C68" t="s">
        <v>97</v>
      </c>
      <c r="D68">
        <v>13.78</v>
      </c>
      <c r="E68" s="15">
        <v>60</v>
      </c>
      <c r="F68">
        <v>20</v>
      </c>
    </row>
    <row r="69" spans="1:6" x14ac:dyDescent="0.3">
      <c r="A69" t="s">
        <v>51</v>
      </c>
      <c r="B69">
        <v>2</v>
      </c>
      <c r="C69" t="s">
        <v>100</v>
      </c>
      <c r="D69">
        <v>0</v>
      </c>
      <c r="E69" s="15">
        <v>20</v>
      </c>
      <c r="F69">
        <v>80</v>
      </c>
    </row>
    <row r="70" spans="1:6" x14ac:dyDescent="0.3">
      <c r="A70" t="s">
        <v>51</v>
      </c>
      <c r="B70">
        <v>2</v>
      </c>
      <c r="C70" t="s">
        <v>102</v>
      </c>
      <c r="D70">
        <v>6.49</v>
      </c>
      <c r="E70" s="15">
        <v>80</v>
      </c>
      <c r="F70">
        <v>20</v>
      </c>
    </row>
    <row r="71" spans="1:6" x14ac:dyDescent="0.3">
      <c r="A71" t="s">
        <v>51</v>
      </c>
      <c r="B71">
        <v>4</v>
      </c>
      <c r="C71" t="s">
        <v>97</v>
      </c>
      <c r="D71">
        <v>27.2</v>
      </c>
      <c r="E71" s="15">
        <v>80</v>
      </c>
      <c r="F71">
        <v>20</v>
      </c>
    </row>
    <row r="72" spans="1:6" x14ac:dyDescent="0.3">
      <c r="A72" t="s">
        <v>51</v>
      </c>
      <c r="B72">
        <v>4</v>
      </c>
      <c r="C72" t="s">
        <v>100</v>
      </c>
      <c r="D72">
        <v>1.59</v>
      </c>
      <c r="E72" s="15">
        <v>30</v>
      </c>
      <c r="F72">
        <v>70</v>
      </c>
    </row>
    <row r="73" spans="1:6" x14ac:dyDescent="0.3">
      <c r="A73" t="s">
        <v>51</v>
      </c>
      <c r="B73">
        <v>4</v>
      </c>
      <c r="C73" t="s">
        <v>102</v>
      </c>
      <c r="D73">
        <v>14.77</v>
      </c>
      <c r="E73" s="15">
        <v>80</v>
      </c>
      <c r="F73">
        <v>10</v>
      </c>
    </row>
    <row r="74" spans="1:6" x14ac:dyDescent="0.3">
      <c r="A74" t="s">
        <v>52</v>
      </c>
      <c r="B74">
        <v>1</v>
      </c>
      <c r="C74" t="s">
        <v>97</v>
      </c>
      <c r="D74">
        <v>74.09</v>
      </c>
      <c r="E74" s="15">
        <v>100</v>
      </c>
      <c r="F74">
        <v>0</v>
      </c>
    </row>
    <row r="75" spans="1:6" x14ac:dyDescent="0.3">
      <c r="A75" t="s">
        <v>52</v>
      </c>
      <c r="B75">
        <v>1</v>
      </c>
      <c r="C75" t="s">
        <v>100</v>
      </c>
      <c r="D75">
        <v>55.31</v>
      </c>
      <c r="E75" s="15">
        <v>30</v>
      </c>
      <c r="F75">
        <v>70</v>
      </c>
    </row>
    <row r="76" spans="1:6" x14ac:dyDescent="0.3">
      <c r="A76" t="s">
        <v>52</v>
      </c>
      <c r="B76">
        <v>1</v>
      </c>
      <c r="C76" t="s">
        <v>102</v>
      </c>
      <c r="D76">
        <v>75.5</v>
      </c>
      <c r="E76" s="15">
        <v>50</v>
      </c>
      <c r="F76">
        <v>50</v>
      </c>
    </row>
    <row r="77" spans="1:6" x14ac:dyDescent="0.3">
      <c r="A77" t="s">
        <v>52</v>
      </c>
      <c r="B77">
        <v>4</v>
      </c>
      <c r="C77" t="s">
        <v>97</v>
      </c>
      <c r="D77">
        <v>65.95</v>
      </c>
      <c r="E77" s="15">
        <v>100</v>
      </c>
      <c r="F77">
        <v>0</v>
      </c>
    </row>
    <row r="78" spans="1:6" x14ac:dyDescent="0.3">
      <c r="A78" t="s">
        <v>52</v>
      </c>
      <c r="B78">
        <v>4</v>
      </c>
      <c r="C78" t="s">
        <v>100</v>
      </c>
      <c r="D78">
        <v>71.959999999999994</v>
      </c>
      <c r="E78" s="15">
        <v>30</v>
      </c>
      <c r="F78">
        <v>70</v>
      </c>
    </row>
    <row r="79" spans="1:6" x14ac:dyDescent="0.3">
      <c r="A79" t="s">
        <v>52</v>
      </c>
      <c r="B79">
        <v>4</v>
      </c>
      <c r="C79" t="s">
        <v>102</v>
      </c>
      <c r="D79">
        <v>80.709999999999994</v>
      </c>
      <c r="E79" s="15">
        <v>80</v>
      </c>
      <c r="F79">
        <v>20</v>
      </c>
    </row>
    <row r="80" spans="1:6" x14ac:dyDescent="0.3">
      <c r="A80" t="s">
        <v>53</v>
      </c>
      <c r="B80">
        <v>2</v>
      </c>
      <c r="C80" t="s">
        <v>97</v>
      </c>
      <c r="D80">
        <v>37.97</v>
      </c>
      <c r="E80" s="15">
        <v>100</v>
      </c>
      <c r="F80">
        <v>0</v>
      </c>
    </row>
    <row r="81" spans="1:6" x14ac:dyDescent="0.3">
      <c r="A81" t="s">
        <v>53</v>
      </c>
      <c r="B81">
        <v>2</v>
      </c>
      <c r="C81" t="s">
        <v>100</v>
      </c>
      <c r="D81">
        <v>8.0399999999999991</v>
      </c>
      <c r="E81" s="15">
        <v>30</v>
      </c>
      <c r="F81">
        <v>70</v>
      </c>
    </row>
    <row r="82" spans="1:6" x14ac:dyDescent="0.3">
      <c r="A82" t="s">
        <v>53</v>
      </c>
      <c r="B82">
        <v>2</v>
      </c>
      <c r="C82" t="s">
        <v>102</v>
      </c>
      <c r="D82">
        <v>94.78</v>
      </c>
      <c r="E82" s="15">
        <v>80</v>
      </c>
      <c r="F82">
        <v>20</v>
      </c>
    </row>
    <row r="83" spans="1:6" x14ac:dyDescent="0.3">
      <c r="A83" t="s">
        <v>53</v>
      </c>
      <c r="B83">
        <v>4</v>
      </c>
      <c r="C83" t="s">
        <v>97</v>
      </c>
      <c r="D83">
        <v>80.599999999999994</v>
      </c>
      <c r="E83" s="15">
        <v>60</v>
      </c>
      <c r="F83">
        <v>40</v>
      </c>
    </row>
    <row r="84" spans="1:6" x14ac:dyDescent="0.3">
      <c r="A84" t="s">
        <v>53</v>
      </c>
      <c r="B84">
        <v>4</v>
      </c>
      <c r="C84" t="s">
        <v>100</v>
      </c>
      <c r="D84">
        <v>6.41</v>
      </c>
      <c r="E84" s="15">
        <v>20</v>
      </c>
      <c r="F84">
        <v>80</v>
      </c>
    </row>
    <row r="85" spans="1:6" x14ac:dyDescent="0.3">
      <c r="A85" t="s">
        <v>53</v>
      </c>
      <c r="B85">
        <v>4</v>
      </c>
      <c r="C85" t="s">
        <v>102</v>
      </c>
      <c r="D85">
        <v>32.53</v>
      </c>
      <c r="E85" s="15">
        <v>30</v>
      </c>
      <c r="F85">
        <v>70</v>
      </c>
    </row>
    <row r="86" spans="1:6" x14ac:dyDescent="0.3">
      <c r="A86" t="s">
        <v>54</v>
      </c>
      <c r="B86">
        <v>2</v>
      </c>
      <c r="C86" t="s">
        <v>97</v>
      </c>
      <c r="D86">
        <v>88.86</v>
      </c>
      <c r="E86" s="15">
        <v>30</v>
      </c>
      <c r="F86">
        <v>70</v>
      </c>
    </row>
    <row r="87" spans="1:6" x14ac:dyDescent="0.3">
      <c r="A87" t="s">
        <v>54</v>
      </c>
      <c r="B87">
        <v>2</v>
      </c>
      <c r="C87" t="s">
        <v>100</v>
      </c>
      <c r="D87">
        <v>85.93</v>
      </c>
      <c r="E87" s="15">
        <v>30</v>
      </c>
      <c r="F87">
        <v>70</v>
      </c>
    </row>
    <row r="88" spans="1:6" x14ac:dyDescent="0.3">
      <c r="A88" t="s">
        <v>54</v>
      </c>
      <c r="B88">
        <v>2</v>
      </c>
      <c r="C88" t="s">
        <v>102</v>
      </c>
      <c r="D88">
        <v>61.13</v>
      </c>
      <c r="E88" s="15">
        <v>0</v>
      </c>
      <c r="F88">
        <v>0</v>
      </c>
    </row>
    <row r="89" spans="1:6" x14ac:dyDescent="0.3">
      <c r="A89" t="s">
        <v>54</v>
      </c>
      <c r="B89">
        <v>4</v>
      </c>
      <c r="C89" t="s">
        <v>97</v>
      </c>
      <c r="D89">
        <v>87.51</v>
      </c>
      <c r="E89" s="15">
        <v>30</v>
      </c>
      <c r="F89">
        <v>70</v>
      </c>
    </row>
    <row r="90" spans="1:6" x14ac:dyDescent="0.3">
      <c r="A90" t="s">
        <v>54</v>
      </c>
      <c r="B90">
        <v>4</v>
      </c>
      <c r="C90" t="s">
        <v>100</v>
      </c>
      <c r="D90">
        <v>43.57</v>
      </c>
      <c r="E90" s="15">
        <v>10</v>
      </c>
      <c r="F90">
        <v>90</v>
      </c>
    </row>
    <row r="91" spans="1:6" x14ac:dyDescent="0.3">
      <c r="A91" t="s">
        <v>54</v>
      </c>
      <c r="B91">
        <v>4</v>
      </c>
      <c r="C91" t="s">
        <v>102</v>
      </c>
      <c r="D91">
        <v>59.95</v>
      </c>
      <c r="E91" s="15">
        <v>20</v>
      </c>
      <c r="F91">
        <v>80</v>
      </c>
    </row>
    <row r="92" spans="1:6" x14ac:dyDescent="0.3">
      <c r="A92" t="s">
        <v>55</v>
      </c>
      <c r="B92">
        <v>1</v>
      </c>
      <c r="C92" t="s">
        <v>97</v>
      </c>
      <c r="D92">
        <v>0</v>
      </c>
      <c r="E92" s="15">
        <v>10</v>
      </c>
      <c r="F92">
        <v>90</v>
      </c>
    </row>
    <row r="93" spans="1:6" x14ac:dyDescent="0.3">
      <c r="A93" t="s">
        <v>55</v>
      </c>
      <c r="B93">
        <v>1</v>
      </c>
      <c r="C93" t="s">
        <v>100</v>
      </c>
      <c r="D93">
        <v>0</v>
      </c>
      <c r="E93" s="15">
        <v>10</v>
      </c>
      <c r="F93">
        <v>80</v>
      </c>
    </row>
    <row r="94" spans="1:6" x14ac:dyDescent="0.3">
      <c r="A94" t="s">
        <v>55</v>
      </c>
      <c r="B94">
        <v>1</v>
      </c>
      <c r="C94" t="s">
        <v>102</v>
      </c>
      <c r="D94">
        <v>0.24</v>
      </c>
      <c r="E94" s="15">
        <v>0</v>
      </c>
      <c r="F94">
        <v>0</v>
      </c>
    </row>
    <row r="95" spans="1:6" x14ac:dyDescent="0.3">
      <c r="A95" t="s">
        <v>55</v>
      </c>
      <c r="B95">
        <v>3</v>
      </c>
      <c r="C95" t="s">
        <v>97</v>
      </c>
      <c r="D95">
        <v>64.34</v>
      </c>
      <c r="E95" s="15">
        <v>100</v>
      </c>
      <c r="F95">
        <v>0</v>
      </c>
    </row>
    <row r="96" spans="1:6" x14ac:dyDescent="0.3">
      <c r="A96" t="s">
        <v>55</v>
      </c>
      <c r="B96">
        <v>3</v>
      </c>
      <c r="C96" t="s">
        <v>100</v>
      </c>
      <c r="D96">
        <v>0.98</v>
      </c>
      <c r="E96" s="15">
        <v>20</v>
      </c>
      <c r="F96">
        <v>20</v>
      </c>
    </row>
    <row r="97" spans="1:6" x14ac:dyDescent="0.3">
      <c r="A97" t="s">
        <v>55</v>
      </c>
      <c r="B97">
        <v>3</v>
      </c>
      <c r="C97" t="s">
        <v>102</v>
      </c>
      <c r="D97">
        <v>0.3</v>
      </c>
      <c r="E97" s="15">
        <v>70</v>
      </c>
      <c r="F97">
        <v>30</v>
      </c>
    </row>
    <row r="98" spans="1:6" x14ac:dyDescent="0.3">
      <c r="A98" t="s">
        <v>56</v>
      </c>
      <c r="B98">
        <v>1</v>
      </c>
      <c r="C98" t="s">
        <v>97</v>
      </c>
      <c r="D98">
        <v>4.62</v>
      </c>
      <c r="E98" s="15">
        <v>70</v>
      </c>
      <c r="F98">
        <v>30</v>
      </c>
    </row>
    <row r="99" spans="1:6" x14ac:dyDescent="0.3">
      <c r="A99" t="s">
        <v>56</v>
      </c>
      <c r="B99">
        <v>1</v>
      </c>
      <c r="C99" t="s">
        <v>100</v>
      </c>
      <c r="D99">
        <v>24.42</v>
      </c>
      <c r="E99" s="15">
        <v>20</v>
      </c>
      <c r="F99">
        <v>80</v>
      </c>
    </row>
    <row r="100" spans="1:6" x14ac:dyDescent="0.3">
      <c r="A100" t="s">
        <v>56</v>
      </c>
      <c r="B100">
        <v>1</v>
      </c>
      <c r="C100" t="s">
        <v>102</v>
      </c>
      <c r="D100">
        <v>33.96</v>
      </c>
      <c r="E100" s="15">
        <v>30</v>
      </c>
      <c r="F100">
        <v>70</v>
      </c>
    </row>
    <row r="101" spans="1:6" x14ac:dyDescent="0.3">
      <c r="A101" t="s">
        <v>56</v>
      </c>
      <c r="B101">
        <v>3</v>
      </c>
      <c r="C101" t="s">
        <v>97</v>
      </c>
      <c r="D101">
        <v>0.77</v>
      </c>
      <c r="E101" s="15">
        <v>30</v>
      </c>
      <c r="F101">
        <v>70</v>
      </c>
    </row>
    <row r="102" spans="1:6" x14ac:dyDescent="0.3">
      <c r="A102" t="s">
        <v>56</v>
      </c>
      <c r="B102">
        <v>3</v>
      </c>
      <c r="C102" t="s">
        <v>100</v>
      </c>
      <c r="D102">
        <v>26.2</v>
      </c>
      <c r="E102" s="15">
        <v>10</v>
      </c>
      <c r="F102">
        <v>90</v>
      </c>
    </row>
    <row r="103" spans="1:6" x14ac:dyDescent="0.3">
      <c r="A103" t="s">
        <v>56</v>
      </c>
      <c r="B103">
        <v>3</v>
      </c>
      <c r="C103" t="s">
        <v>102</v>
      </c>
      <c r="D103">
        <v>74.38</v>
      </c>
      <c r="E103" s="15">
        <v>20</v>
      </c>
      <c r="F103">
        <v>80</v>
      </c>
    </row>
    <row r="104" spans="1:6" x14ac:dyDescent="0.3">
      <c r="A104" t="s">
        <v>57</v>
      </c>
      <c r="B104">
        <v>1</v>
      </c>
      <c r="C104" t="s">
        <v>97</v>
      </c>
      <c r="D104">
        <v>27.06</v>
      </c>
      <c r="E104" s="15">
        <v>30</v>
      </c>
      <c r="F104">
        <v>70</v>
      </c>
    </row>
    <row r="105" spans="1:6" x14ac:dyDescent="0.3">
      <c r="A105" t="s">
        <v>57</v>
      </c>
      <c r="B105">
        <v>1</v>
      </c>
      <c r="C105" t="s">
        <v>100</v>
      </c>
      <c r="D105">
        <v>65.959999999999994</v>
      </c>
      <c r="E105" s="15">
        <v>40</v>
      </c>
      <c r="F105">
        <v>60</v>
      </c>
    </row>
    <row r="106" spans="1:6" x14ac:dyDescent="0.3">
      <c r="A106" t="s">
        <v>57</v>
      </c>
      <c r="B106">
        <v>1</v>
      </c>
      <c r="C106" t="s">
        <v>102</v>
      </c>
      <c r="D106">
        <v>53.16</v>
      </c>
      <c r="E106" s="15">
        <v>30</v>
      </c>
      <c r="F106">
        <v>70</v>
      </c>
    </row>
    <row r="107" spans="1:6" x14ac:dyDescent="0.3">
      <c r="A107" t="s">
        <v>57</v>
      </c>
      <c r="B107">
        <v>3</v>
      </c>
      <c r="C107" t="s">
        <v>97</v>
      </c>
      <c r="D107">
        <v>73.72</v>
      </c>
      <c r="E107" s="15">
        <v>70</v>
      </c>
      <c r="F107">
        <v>30</v>
      </c>
    </row>
    <row r="108" spans="1:6" x14ac:dyDescent="0.3">
      <c r="A108" t="s">
        <v>57</v>
      </c>
      <c r="B108">
        <v>3</v>
      </c>
      <c r="C108" t="s">
        <v>100</v>
      </c>
      <c r="D108">
        <v>58.91</v>
      </c>
      <c r="E108" s="15">
        <v>30</v>
      </c>
      <c r="F108">
        <v>70</v>
      </c>
    </row>
    <row r="109" spans="1:6" x14ac:dyDescent="0.3">
      <c r="A109" t="s">
        <v>57</v>
      </c>
      <c r="B109">
        <v>3</v>
      </c>
      <c r="C109" t="s">
        <v>102</v>
      </c>
      <c r="D109">
        <v>82.65</v>
      </c>
      <c r="E109" s="15">
        <v>70</v>
      </c>
      <c r="F109">
        <v>30</v>
      </c>
    </row>
    <row r="110" spans="1:6" x14ac:dyDescent="0.3">
      <c r="A110" t="s">
        <v>58</v>
      </c>
      <c r="B110">
        <v>2</v>
      </c>
      <c r="C110" t="s">
        <v>97</v>
      </c>
      <c r="D110">
        <v>22.72</v>
      </c>
      <c r="E110" s="15">
        <v>100</v>
      </c>
      <c r="F110">
        <v>0</v>
      </c>
    </row>
    <row r="111" spans="1:6" x14ac:dyDescent="0.3">
      <c r="A111" t="s">
        <v>58</v>
      </c>
      <c r="B111">
        <v>2</v>
      </c>
      <c r="C111" t="s">
        <v>100</v>
      </c>
      <c r="D111">
        <v>26.29</v>
      </c>
      <c r="E111" s="15">
        <v>20</v>
      </c>
      <c r="F111">
        <v>80</v>
      </c>
    </row>
    <row r="112" spans="1:6" x14ac:dyDescent="0.3">
      <c r="A112" t="s">
        <v>58</v>
      </c>
      <c r="B112">
        <v>2</v>
      </c>
      <c r="C112" t="s">
        <v>102</v>
      </c>
      <c r="D112">
        <v>25.54</v>
      </c>
      <c r="E112" s="15">
        <v>100</v>
      </c>
      <c r="F112">
        <v>0</v>
      </c>
    </row>
    <row r="113" spans="1:6" x14ac:dyDescent="0.3">
      <c r="A113" t="s">
        <v>58</v>
      </c>
      <c r="B113">
        <v>4</v>
      </c>
      <c r="C113" t="s">
        <v>97</v>
      </c>
      <c r="D113">
        <v>61.93</v>
      </c>
      <c r="E113" s="15">
        <v>90</v>
      </c>
      <c r="F113">
        <v>10</v>
      </c>
    </row>
    <row r="114" spans="1:6" x14ac:dyDescent="0.3">
      <c r="A114" t="s">
        <v>58</v>
      </c>
      <c r="B114">
        <v>4</v>
      </c>
      <c r="C114" t="s">
        <v>100</v>
      </c>
      <c r="D114">
        <v>55.91</v>
      </c>
      <c r="E114" s="15">
        <v>90</v>
      </c>
      <c r="F114">
        <v>10</v>
      </c>
    </row>
    <row r="115" spans="1:6" x14ac:dyDescent="0.3">
      <c r="A115" t="s">
        <v>58</v>
      </c>
      <c r="B115">
        <v>4</v>
      </c>
      <c r="C115" t="s">
        <v>102</v>
      </c>
      <c r="D115">
        <v>34.47</v>
      </c>
      <c r="E115" s="15">
        <v>90</v>
      </c>
      <c r="F115">
        <v>10</v>
      </c>
    </row>
    <row r="116" spans="1:6" x14ac:dyDescent="0.3">
      <c r="A116" t="s">
        <v>59</v>
      </c>
      <c r="B116">
        <v>2</v>
      </c>
      <c r="C116" t="s">
        <v>97</v>
      </c>
      <c r="D116">
        <v>81.31</v>
      </c>
      <c r="E116" s="15">
        <v>20</v>
      </c>
      <c r="F116">
        <v>80</v>
      </c>
    </row>
    <row r="117" spans="1:6" x14ac:dyDescent="0.3">
      <c r="A117" t="s">
        <v>59</v>
      </c>
      <c r="B117">
        <v>2</v>
      </c>
      <c r="C117" t="s">
        <v>100</v>
      </c>
      <c r="D117">
        <v>72.400000000000006</v>
      </c>
      <c r="E117" s="15">
        <v>80</v>
      </c>
      <c r="F117">
        <v>20</v>
      </c>
    </row>
    <row r="118" spans="1:6" x14ac:dyDescent="0.3">
      <c r="A118" t="s">
        <v>59</v>
      </c>
      <c r="B118">
        <v>2</v>
      </c>
      <c r="C118" t="s">
        <v>102</v>
      </c>
      <c r="D118">
        <v>68.319999999999993</v>
      </c>
      <c r="E118" s="15">
        <v>90</v>
      </c>
      <c r="F118">
        <v>10</v>
      </c>
    </row>
    <row r="119" spans="1:6" x14ac:dyDescent="0.3">
      <c r="A119" t="s">
        <v>59</v>
      </c>
      <c r="B119">
        <v>4</v>
      </c>
      <c r="C119" t="s">
        <v>97</v>
      </c>
      <c r="D119">
        <v>33.85</v>
      </c>
      <c r="E119" s="15">
        <v>20</v>
      </c>
      <c r="F119">
        <v>80</v>
      </c>
    </row>
    <row r="120" spans="1:6" x14ac:dyDescent="0.3">
      <c r="A120" t="s">
        <v>59</v>
      </c>
      <c r="B120">
        <v>4</v>
      </c>
      <c r="C120" t="s">
        <v>100</v>
      </c>
      <c r="D120">
        <v>16.82</v>
      </c>
      <c r="E120" s="15">
        <v>40</v>
      </c>
      <c r="F120">
        <v>60</v>
      </c>
    </row>
    <row r="121" spans="1:6" x14ac:dyDescent="0.3">
      <c r="A121" t="s">
        <v>59</v>
      </c>
      <c r="B121">
        <v>4</v>
      </c>
      <c r="C121" t="s">
        <v>102</v>
      </c>
      <c r="D121">
        <v>27.85</v>
      </c>
      <c r="E121" s="15">
        <v>30</v>
      </c>
      <c r="F121">
        <v>70</v>
      </c>
    </row>
    <row r="122" spans="1:6" x14ac:dyDescent="0.3">
      <c r="A122" t="s">
        <v>60</v>
      </c>
      <c r="B122">
        <v>1</v>
      </c>
      <c r="C122" t="s">
        <v>97</v>
      </c>
      <c r="D122">
        <v>51.41</v>
      </c>
      <c r="E122">
        <v>100</v>
      </c>
      <c r="F122">
        <v>0</v>
      </c>
    </row>
    <row r="123" spans="1:6" x14ac:dyDescent="0.3">
      <c r="A123" t="s">
        <v>60</v>
      </c>
      <c r="B123">
        <v>1</v>
      </c>
      <c r="C123" t="s">
        <v>100</v>
      </c>
      <c r="D123">
        <v>64.319999999999993</v>
      </c>
      <c r="E123">
        <v>10</v>
      </c>
      <c r="F123">
        <v>90</v>
      </c>
    </row>
    <row r="124" spans="1:6" x14ac:dyDescent="0.3">
      <c r="A124" t="s">
        <v>60</v>
      </c>
      <c r="B124">
        <v>1</v>
      </c>
      <c r="C124" t="s">
        <v>102</v>
      </c>
      <c r="D124">
        <v>65.239999999999995</v>
      </c>
      <c r="E124">
        <v>30</v>
      </c>
      <c r="F124">
        <v>70</v>
      </c>
    </row>
    <row r="125" spans="1:6" x14ac:dyDescent="0.3">
      <c r="A125" t="s">
        <v>60</v>
      </c>
      <c r="B125">
        <v>3</v>
      </c>
      <c r="C125" t="s">
        <v>97</v>
      </c>
      <c r="D125">
        <v>61.91</v>
      </c>
      <c r="E125">
        <v>30</v>
      </c>
      <c r="F125">
        <v>70</v>
      </c>
    </row>
    <row r="126" spans="1:6" x14ac:dyDescent="0.3">
      <c r="A126" t="s">
        <v>60</v>
      </c>
      <c r="B126">
        <v>3</v>
      </c>
      <c r="C126" t="s">
        <v>100</v>
      </c>
      <c r="D126">
        <v>47.25</v>
      </c>
      <c r="E126">
        <v>20</v>
      </c>
      <c r="F126">
        <v>80</v>
      </c>
    </row>
    <row r="127" spans="1:6" x14ac:dyDescent="0.3">
      <c r="A127" t="s">
        <v>60</v>
      </c>
      <c r="B127">
        <v>3</v>
      </c>
      <c r="C127" t="s">
        <v>102</v>
      </c>
      <c r="D127">
        <v>62.35</v>
      </c>
      <c r="E127">
        <v>20</v>
      </c>
      <c r="F127">
        <v>80</v>
      </c>
    </row>
    <row r="128" spans="1:6" x14ac:dyDescent="0.3">
      <c r="A128" t="s">
        <v>61</v>
      </c>
      <c r="B128">
        <v>2</v>
      </c>
      <c r="C128" t="s">
        <v>97</v>
      </c>
      <c r="D128">
        <v>63.72</v>
      </c>
      <c r="E128">
        <v>40</v>
      </c>
      <c r="F128">
        <v>60</v>
      </c>
    </row>
    <row r="129" spans="1:6" x14ac:dyDescent="0.3">
      <c r="A129" t="s">
        <v>61</v>
      </c>
      <c r="B129">
        <v>2</v>
      </c>
      <c r="C129" t="s">
        <v>100</v>
      </c>
      <c r="D129">
        <v>49.03</v>
      </c>
      <c r="E129">
        <v>20</v>
      </c>
      <c r="F129">
        <v>80</v>
      </c>
    </row>
    <row r="130" spans="1:6" x14ac:dyDescent="0.3">
      <c r="A130" t="s">
        <v>61</v>
      </c>
      <c r="B130">
        <v>2</v>
      </c>
      <c r="C130" t="s">
        <v>102</v>
      </c>
      <c r="D130">
        <v>38.08</v>
      </c>
      <c r="E130">
        <v>10</v>
      </c>
      <c r="F130">
        <v>90</v>
      </c>
    </row>
    <row r="131" spans="1:6" x14ac:dyDescent="0.3">
      <c r="A131" t="s">
        <v>61</v>
      </c>
      <c r="B131">
        <v>4</v>
      </c>
      <c r="C131" t="s">
        <v>97</v>
      </c>
      <c r="D131">
        <v>30.96</v>
      </c>
      <c r="E131">
        <v>60</v>
      </c>
      <c r="F131">
        <v>40</v>
      </c>
    </row>
    <row r="132" spans="1:6" x14ac:dyDescent="0.3">
      <c r="A132" t="s">
        <v>61</v>
      </c>
      <c r="B132">
        <v>4</v>
      </c>
      <c r="C132" t="s">
        <v>100</v>
      </c>
      <c r="D132">
        <v>38.270000000000003</v>
      </c>
      <c r="E132">
        <v>10</v>
      </c>
      <c r="F132">
        <v>90</v>
      </c>
    </row>
    <row r="133" spans="1:6" x14ac:dyDescent="0.3">
      <c r="A133" t="s">
        <v>61</v>
      </c>
      <c r="B133">
        <v>4</v>
      </c>
      <c r="C133" t="s">
        <v>102</v>
      </c>
      <c r="D133">
        <v>23.47</v>
      </c>
      <c r="E133">
        <v>100</v>
      </c>
      <c r="F133">
        <v>0</v>
      </c>
    </row>
    <row r="134" spans="1:6" x14ac:dyDescent="0.3">
      <c r="A134" t="s">
        <v>70</v>
      </c>
      <c r="B134">
        <v>2</v>
      </c>
      <c r="C134" t="s">
        <v>97</v>
      </c>
      <c r="D134">
        <v>52.88</v>
      </c>
      <c r="E134">
        <v>50</v>
      </c>
      <c r="F134">
        <v>50</v>
      </c>
    </row>
    <row r="135" spans="1:6" x14ac:dyDescent="0.3">
      <c r="A135" t="s">
        <v>70</v>
      </c>
      <c r="B135">
        <v>2</v>
      </c>
      <c r="C135" t="s">
        <v>100</v>
      </c>
      <c r="D135">
        <v>53.26</v>
      </c>
      <c r="E135">
        <v>40</v>
      </c>
      <c r="F135">
        <v>60</v>
      </c>
    </row>
    <row r="136" spans="1:6" x14ac:dyDescent="0.3">
      <c r="A136" t="s">
        <v>70</v>
      </c>
      <c r="B136">
        <v>2</v>
      </c>
      <c r="C136" t="s">
        <v>102</v>
      </c>
      <c r="D136">
        <v>49.23</v>
      </c>
      <c r="E136">
        <v>20</v>
      </c>
      <c r="F136">
        <v>80</v>
      </c>
    </row>
    <row r="137" spans="1:6" x14ac:dyDescent="0.3">
      <c r="A137" t="s">
        <v>70</v>
      </c>
      <c r="B137">
        <v>4</v>
      </c>
      <c r="C137" t="s">
        <v>97</v>
      </c>
      <c r="D137">
        <v>62.76</v>
      </c>
      <c r="E137">
        <v>10</v>
      </c>
      <c r="F137">
        <v>90</v>
      </c>
    </row>
    <row r="138" spans="1:6" x14ac:dyDescent="0.3">
      <c r="A138" t="s">
        <v>70</v>
      </c>
      <c r="B138">
        <v>4</v>
      </c>
      <c r="C138" t="s">
        <v>100</v>
      </c>
      <c r="D138">
        <v>67.17</v>
      </c>
      <c r="E138">
        <v>20</v>
      </c>
      <c r="F138">
        <v>80</v>
      </c>
    </row>
    <row r="139" spans="1:6" x14ac:dyDescent="0.3">
      <c r="A139" t="s">
        <v>70</v>
      </c>
      <c r="B139">
        <v>4</v>
      </c>
      <c r="C139" t="s">
        <v>102</v>
      </c>
      <c r="D139">
        <v>59.13</v>
      </c>
      <c r="E139">
        <v>30</v>
      </c>
      <c r="F139">
        <v>70</v>
      </c>
    </row>
    <row r="140" spans="1:6" x14ac:dyDescent="0.3">
      <c r="A140" t="s">
        <v>71</v>
      </c>
      <c r="B140">
        <v>1</v>
      </c>
      <c r="C140" t="s">
        <v>97</v>
      </c>
      <c r="D140">
        <v>24.74</v>
      </c>
      <c r="E140">
        <v>10</v>
      </c>
      <c r="F140">
        <v>90</v>
      </c>
    </row>
    <row r="141" spans="1:6" x14ac:dyDescent="0.3">
      <c r="A141" t="s">
        <v>71</v>
      </c>
      <c r="B141">
        <v>1</v>
      </c>
      <c r="C141" t="s">
        <v>100</v>
      </c>
      <c r="D141">
        <v>35.58</v>
      </c>
      <c r="E141">
        <v>70</v>
      </c>
      <c r="F141">
        <v>30</v>
      </c>
    </row>
    <row r="142" spans="1:6" x14ac:dyDescent="0.3">
      <c r="A142" t="s">
        <v>71</v>
      </c>
      <c r="B142">
        <v>1</v>
      </c>
      <c r="C142" t="s">
        <v>102</v>
      </c>
      <c r="D142">
        <v>6.55</v>
      </c>
      <c r="E142">
        <v>10</v>
      </c>
      <c r="F142">
        <v>90</v>
      </c>
    </row>
    <row r="143" spans="1:6" x14ac:dyDescent="0.3">
      <c r="A143" t="s">
        <v>71</v>
      </c>
      <c r="B143">
        <v>3</v>
      </c>
      <c r="C143" t="s">
        <v>97</v>
      </c>
      <c r="D143">
        <v>36.26</v>
      </c>
      <c r="E143">
        <v>30</v>
      </c>
      <c r="F143">
        <v>70</v>
      </c>
    </row>
    <row r="144" spans="1:6" x14ac:dyDescent="0.3">
      <c r="A144" t="s">
        <v>71</v>
      </c>
      <c r="B144">
        <v>3</v>
      </c>
      <c r="C144" t="s">
        <v>100</v>
      </c>
      <c r="D144">
        <v>0.53</v>
      </c>
      <c r="E144">
        <v>90</v>
      </c>
      <c r="F144">
        <v>10</v>
      </c>
    </row>
    <row r="145" spans="1:6" x14ac:dyDescent="0.3">
      <c r="A145" t="s">
        <v>71</v>
      </c>
      <c r="B145">
        <v>3</v>
      </c>
      <c r="C145" t="s">
        <v>102</v>
      </c>
      <c r="D145">
        <v>10.76</v>
      </c>
      <c r="E145">
        <v>60</v>
      </c>
      <c r="F145">
        <v>40</v>
      </c>
    </row>
    <row r="146" spans="1:6" x14ac:dyDescent="0.3">
      <c r="A146" t="s">
        <v>73</v>
      </c>
      <c r="B146">
        <v>1</v>
      </c>
      <c r="C146" t="s">
        <v>97</v>
      </c>
      <c r="D146">
        <v>84.41</v>
      </c>
      <c r="E146">
        <v>30</v>
      </c>
      <c r="F146">
        <v>70</v>
      </c>
    </row>
    <row r="147" spans="1:6" x14ac:dyDescent="0.3">
      <c r="A147" t="s">
        <v>73</v>
      </c>
      <c r="B147">
        <v>1</v>
      </c>
      <c r="C147" t="s">
        <v>100</v>
      </c>
      <c r="D147">
        <v>65.45</v>
      </c>
      <c r="E147">
        <v>20</v>
      </c>
      <c r="F147">
        <v>80</v>
      </c>
    </row>
    <row r="148" spans="1:6" x14ac:dyDescent="0.3">
      <c r="A148" t="s">
        <v>73</v>
      </c>
      <c r="B148">
        <v>1</v>
      </c>
      <c r="C148" t="s">
        <v>102</v>
      </c>
      <c r="D148">
        <v>89.29</v>
      </c>
      <c r="E148">
        <v>100</v>
      </c>
      <c r="F148">
        <v>0</v>
      </c>
    </row>
    <row r="149" spans="1:6" x14ac:dyDescent="0.3">
      <c r="A149" t="s">
        <v>73</v>
      </c>
      <c r="B149">
        <v>3</v>
      </c>
      <c r="C149" t="s">
        <v>97</v>
      </c>
      <c r="D149">
        <v>79.44</v>
      </c>
      <c r="E149">
        <v>60</v>
      </c>
      <c r="F149">
        <v>40</v>
      </c>
    </row>
    <row r="150" spans="1:6" x14ac:dyDescent="0.3">
      <c r="A150" t="s">
        <v>73</v>
      </c>
      <c r="B150">
        <v>3</v>
      </c>
      <c r="C150" t="s">
        <v>100</v>
      </c>
      <c r="D150">
        <v>30.12</v>
      </c>
      <c r="E150">
        <v>30</v>
      </c>
      <c r="F150">
        <v>70</v>
      </c>
    </row>
    <row r="151" spans="1:6" x14ac:dyDescent="0.3">
      <c r="A151" t="s">
        <v>73</v>
      </c>
      <c r="B151">
        <v>3</v>
      </c>
      <c r="C151" t="s">
        <v>102</v>
      </c>
      <c r="D151">
        <v>22.96</v>
      </c>
      <c r="E151">
        <v>60</v>
      </c>
      <c r="F151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0026E-0602-40C7-9DE5-6C37076715F1}">
  <dimension ref="A1:F29"/>
  <sheetViews>
    <sheetView tabSelected="1" topLeftCell="A12" workbookViewId="0">
      <selection activeCell="A28" sqref="A28"/>
    </sheetView>
  </sheetViews>
  <sheetFormatPr defaultRowHeight="14.4" x14ac:dyDescent="0.3"/>
  <cols>
    <col min="1" max="1" width="21.109375" bestFit="1" customWidth="1"/>
    <col min="2" max="2" width="14" bestFit="1" customWidth="1"/>
    <col min="4" max="4" width="12.109375" bestFit="1" customWidth="1"/>
    <col min="5" max="5" width="8.88671875" bestFit="1" customWidth="1"/>
    <col min="6" max="6" width="95" customWidth="1"/>
  </cols>
  <sheetData>
    <row r="1" spans="1:6" x14ac:dyDescent="0.3">
      <c r="A1" s="2" t="s">
        <v>1</v>
      </c>
      <c r="B1" s="2" t="s">
        <v>113</v>
      </c>
      <c r="C1" s="2" t="s">
        <v>114</v>
      </c>
      <c r="D1" s="2" t="s">
        <v>115</v>
      </c>
      <c r="E1" s="2" t="s">
        <v>116</v>
      </c>
      <c r="F1" s="2" t="s">
        <v>117</v>
      </c>
    </row>
    <row r="2" spans="1:6" x14ac:dyDescent="0.3">
      <c r="A2" t="s">
        <v>61</v>
      </c>
      <c r="B2" t="s">
        <v>118</v>
      </c>
      <c r="C2">
        <v>40</v>
      </c>
      <c r="D2">
        <v>13</v>
      </c>
      <c r="E2" t="s">
        <v>119</v>
      </c>
      <c r="F2" t="s">
        <v>150</v>
      </c>
    </row>
    <row r="3" spans="1:6" x14ac:dyDescent="0.3">
      <c r="A3" t="s">
        <v>36</v>
      </c>
      <c r="B3" t="s">
        <v>121</v>
      </c>
      <c r="C3">
        <v>80</v>
      </c>
      <c r="D3">
        <v>17</v>
      </c>
      <c r="E3" t="s">
        <v>119</v>
      </c>
      <c r="F3" s="5" t="s">
        <v>122</v>
      </c>
    </row>
    <row r="4" spans="1:6" x14ac:dyDescent="0.3">
      <c r="A4" t="s">
        <v>45</v>
      </c>
      <c r="B4" t="s">
        <v>121</v>
      </c>
      <c r="C4">
        <v>40</v>
      </c>
      <c r="D4">
        <v>2</v>
      </c>
      <c r="E4" t="s">
        <v>119</v>
      </c>
      <c r="F4" t="s">
        <v>130</v>
      </c>
    </row>
    <row r="5" spans="1:6" x14ac:dyDescent="0.3">
      <c r="A5" t="s">
        <v>41</v>
      </c>
      <c r="B5" t="s">
        <v>121</v>
      </c>
      <c r="C5">
        <v>100</v>
      </c>
      <c r="D5">
        <v>5</v>
      </c>
      <c r="E5" t="s">
        <v>119</v>
      </c>
      <c r="F5" t="s">
        <v>124</v>
      </c>
    </row>
    <row r="6" spans="1:6" x14ac:dyDescent="0.3">
      <c r="A6" t="s">
        <v>49</v>
      </c>
      <c r="B6" t="s">
        <v>118</v>
      </c>
      <c r="C6">
        <v>70</v>
      </c>
      <c r="D6">
        <v>13</v>
      </c>
      <c r="E6" t="s">
        <v>119</v>
      </c>
      <c r="F6" s="5" t="s">
        <v>133</v>
      </c>
    </row>
    <row r="7" spans="1:6" x14ac:dyDescent="0.3">
      <c r="A7" t="s">
        <v>44</v>
      </c>
      <c r="B7" t="s">
        <v>128</v>
      </c>
      <c r="C7">
        <v>30</v>
      </c>
      <c r="D7">
        <v>5</v>
      </c>
      <c r="E7" t="s">
        <v>119</v>
      </c>
      <c r="F7" t="s">
        <v>129</v>
      </c>
    </row>
    <row r="8" spans="1:6" x14ac:dyDescent="0.3">
      <c r="A8" t="s">
        <v>50</v>
      </c>
      <c r="B8" t="s">
        <v>118</v>
      </c>
      <c r="C8">
        <v>40</v>
      </c>
      <c r="D8">
        <v>18</v>
      </c>
      <c r="E8" t="s">
        <v>119</v>
      </c>
      <c r="F8" t="s">
        <v>130</v>
      </c>
    </row>
    <row r="9" spans="1:6" x14ac:dyDescent="0.3">
      <c r="A9" t="s">
        <v>39</v>
      </c>
      <c r="B9" t="s">
        <v>121</v>
      </c>
      <c r="C9">
        <v>100</v>
      </c>
      <c r="D9">
        <v>1</v>
      </c>
      <c r="E9" t="s">
        <v>119</v>
      </c>
      <c r="F9" s="5" t="s">
        <v>123</v>
      </c>
    </row>
    <row r="10" spans="1:6" x14ac:dyDescent="0.3">
      <c r="A10" t="s">
        <v>47</v>
      </c>
      <c r="B10" t="s">
        <v>121</v>
      </c>
      <c r="C10">
        <v>90</v>
      </c>
      <c r="D10">
        <v>9</v>
      </c>
      <c r="E10" t="s">
        <v>119</v>
      </c>
      <c r="F10" t="s">
        <v>131</v>
      </c>
    </row>
    <row r="11" spans="1:6" x14ac:dyDescent="0.3">
      <c r="A11" t="s">
        <v>52</v>
      </c>
      <c r="B11" t="s">
        <v>125</v>
      </c>
      <c r="C11" s="13">
        <v>80</v>
      </c>
      <c r="D11">
        <v>12</v>
      </c>
      <c r="E11" t="s">
        <v>135</v>
      </c>
      <c r="F11" t="s">
        <v>136</v>
      </c>
    </row>
    <row r="12" spans="1:6" x14ac:dyDescent="0.3">
      <c r="A12" t="s">
        <v>70</v>
      </c>
      <c r="B12" t="s">
        <v>118</v>
      </c>
      <c r="C12">
        <v>20</v>
      </c>
      <c r="D12">
        <v>23</v>
      </c>
      <c r="E12" t="s">
        <v>119</v>
      </c>
      <c r="F12" t="s">
        <v>152</v>
      </c>
    </row>
    <row r="13" spans="1:6" x14ac:dyDescent="0.3">
      <c r="A13" t="s">
        <v>73</v>
      </c>
      <c r="B13" t="s">
        <v>128</v>
      </c>
      <c r="C13">
        <v>40</v>
      </c>
      <c r="D13">
        <v>3</v>
      </c>
      <c r="E13" t="s">
        <v>119</v>
      </c>
      <c r="F13" t="s">
        <v>155</v>
      </c>
    </row>
    <row r="14" spans="1:6" x14ac:dyDescent="0.3">
      <c r="A14" t="s">
        <v>48</v>
      </c>
      <c r="B14" t="s">
        <v>118</v>
      </c>
      <c r="C14">
        <v>90</v>
      </c>
      <c r="D14">
        <v>9</v>
      </c>
      <c r="E14" t="s">
        <v>119</v>
      </c>
      <c r="F14" t="s">
        <v>132</v>
      </c>
    </row>
    <row r="15" spans="1:6" x14ac:dyDescent="0.3">
      <c r="A15" t="s">
        <v>74</v>
      </c>
      <c r="B15" t="s">
        <v>125</v>
      </c>
      <c r="C15">
        <v>10</v>
      </c>
      <c r="D15">
        <v>77</v>
      </c>
      <c r="E15" t="s">
        <v>135</v>
      </c>
      <c r="F15" t="s">
        <v>151</v>
      </c>
    </row>
    <row r="16" spans="1:6" x14ac:dyDescent="0.3">
      <c r="A16" t="s">
        <v>59</v>
      </c>
      <c r="B16" t="s">
        <v>125</v>
      </c>
      <c r="C16">
        <v>80</v>
      </c>
      <c r="D16">
        <v>5</v>
      </c>
      <c r="E16" t="s">
        <v>147</v>
      </c>
      <c r="F16" t="s">
        <v>148</v>
      </c>
    </row>
    <row r="17" spans="1:6" x14ac:dyDescent="0.3">
      <c r="A17" t="s">
        <v>42</v>
      </c>
      <c r="B17" t="s">
        <v>125</v>
      </c>
      <c r="C17">
        <v>95</v>
      </c>
      <c r="D17">
        <v>14</v>
      </c>
      <c r="E17" t="s">
        <v>119</v>
      </c>
      <c r="F17" s="5" t="s">
        <v>126</v>
      </c>
    </row>
    <row r="18" spans="1:6" x14ac:dyDescent="0.3">
      <c r="A18" t="s">
        <v>53</v>
      </c>
      <c r="B18" t="s">
        <v>118</v>
      </c>
      <c r="C18">
        <v>40</v>
      </c>
      <c r="D18">
        <v>10</v>
      </c>
      <c r="E18" t="s">
        <v>119</v>
      </c>
      <c r="F18" t="s">
        <v>137</v>
      </c>
    </row>
    <row r="19" spans="1:6" x14ac:dyDescent="0.3">
      <c r="A19" t="s">
        <v>72</v>
      </c>
      <c r="B19" t="s">
        <v>125</v>
      </c>
      <c r="C19">
        <v>20</v>
      </c>
      <c r="D19">
        <v>47</v>
      </c>
      <c r="E19" t="s">
        <v>135</v>
      </c>
      <c r="F19" t="s">
        <v>154</v>
      </c>
    </row>
    <row r="20" spans="1:6" x14ac:dyDescent="0.3">
      <c r="A20" t="s">
        <v>71</v>
      </c>
      <c r="B20" t="s">
        <v>118</v>
      </c>
      <c r="C20">
        <v>20</v>
      </c>
      <c r="D20">
        <v>26</v>
      </c>
      <c r="E20" t="s">
        <v>119</v>
      </c>
      <c r="F20" t="s">
        <v>153</v>
      </c>
    </row>
    <row r="21" spans="1:6" x14ac:dyDescent="0.3">
      <c r="A21" t="s">
        <v>34</v>
      </c>
      <c r="B21" t="s">
        <v>118</v>
      </c>
      <c r="C21">
        <v>55</v>
      </c>
      <c r="D21">
        <v>4</v>
      </c>
      <c r="E21" t="s">
        <v>119</v>
      </c>
      <c r="F21" t="s">
        <v>120</v>
      </c>
    </row>
    <row r="22" spans="1:6" x14ac:dyDescent="0.3">
      <c r="A22" t="s">
        <v>143</v>
      </c>
      <c r="B22" t="s">
        <v>118</v>
      </c>
      <c r="C22">
        <v>40</v>
      </c>
      <c r="D22">
        <v>4</v>
      </c>
      <c r="E22" t="s">
        <v>140</v>
      </c>
      <c r="F22" t="s">
        <v>144</v>
      </c>
    </row>
    <row r="23" spans="1:6" x14ac:dyDescent="0.3">
      <c r="A23" t="s">
        <v>51</v>
      </c>
      <c r="B23" t="s">
        <v>125</v>
      </c>
      <c r="C23">
        <v>90</v>
      </c>
      <c r="D23">
        <v>17</v>
      </c>
      <c r="E23" t="s">
        <v>119</v>
      </c>
      <c r="F23" t="s">
        <v>134</v>
      </c>
    </row>
    <row r="24" spans="1:6" x14ac:dyDescent="0.3">
      <c r="A24" t="s">
        <v>56</v>
      </c>
      <c r="B24" t="s">
        <v>121</v>
      </c>
      <c r="C24">
        <v>60</v>
      </c>
      <c r="D24">
        <v>14</v>
      </c>
      <c r="E24" t="s">
        <v>140</v>
      </c>
      <c r="F24" t="s">
        <v>142</v>
      </c>
    </row>
    <row r="25" spans="1:6" x14ac:dyDescent="0.3">
      <c r="A25" t="s">
        <v>55</v>
      </c>
      <c r="B25" t="s">
        <v>118</v>
      </c>
      <c r="C25">
        <v>50</v>
      </c>
      <c r="D25">
        <v>28</v>
      </c>
      <c r="E25" t="s">
        <v>140</v>
      </c>
      <c r="F25" t="s">
        <v>141</v>
      </c>
    </row>
    <row r="26" spans="1:6" x14ac:dyDescent="0.3">
      <c r="A26" t="s">
        <v>58</v>
      </c>
      <c r="B26" t="s">
        <v>118</v>
      </c>
      <c r="C26">
        <v>70</v>
      </c>
      <c r="D26">
        <v>18</v>
      </c>
      <c r="E26" t="s">
        <v>145</v>
      </c>
      <c r="F26" t="s">
        <v>146</v>
      </c>
    </row>
    <row r="27" spans="1:6" x14ac:dyDescent="0.3">
      <c r="A27" t="s">
        <v>54</v>
      </c>
      <c r="B27" t="s">
        <v>138</v>
      </c>
      <c r="C27">
        <v>80</v>
      </c>
      <c r="D27">
        <v>10</v>
      </c>
      <c r="E27" t="s">
        <v>119</v>
      </c>
      <c r="F27" t="s">
        <v>139</v>
      </c>
    </row>
    <row r="28" spans="1:6" x14ac:dyDescent="0.3">
      <c r="A28" t="s">
        <v>60</v>
      </c>
      <c r="B28" t="s">
        <v>121</v>
      </c>
      <c r="C28">
        <v>30</v>
      </c>
      <c r="D28">
        <v>4</v>
      </c>
      <c r="E28" t="s">
        <v>119</v>
      </c>
      <c r="F28" t="s">
        <v>149</v>
      </c>
    </row>
    <row r="29" spans="1:6" x14ac:dyDescent="0.3">
      <c r="A29" t="s">
        <v>43</v>
      </c>
      <c r="B29" t="s">
        <v>121</v>
      </c>
      <c r="C29">
        <v>90</v>
      </c>
      <c r="D29">
        <v>9</v>
      </c>
      <c r="E29" t="s">
        <v>119</v>
      </c>
      <c r="F29" s="5" t="s">
        <v>127</v>
      </c>
    </row>
  </sheetData>
  <sortState xmlns:xlrd2="http://schemas.microsoft.com/office/spreadsheetml/2017/richdata2" ref="A2:F29">
    <sortCondition descending="1" ref="A1:A2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CDCFD380D32545B07D90DCC3582B86" ma:contentTypeVersion="15" ma:contentTypeDescription="Create a new document." ma:contentTypeScope="" ma:versionID="73cc0e6adb191ad370f88d6f23b2b611">
  <xsd:schema xmlns:xsd="http://www.w3.org/2001/XMLSchema" xmlns:xs="http://www.w3.org/2001/XMLSchema" xmlns:p="http://schemas.microsoft.com/office/2006/metadata/properties" xmlns:ns2="3af82139-a4fa-424f-9edc-6a7118b99e64" xmlns:ns3="ef1137a6-6777-4889-821d-cb9dcf18c995" targetNamespace="http://schemas.microsoft.com/office/2006/metadata/properties" ma:root="true" ma:fieldsID="7423dace020fa2d726729db403a70743" ns2:_="" ns3:_="">
    <xsd:import namespace="3af82139-a4fa-424f-9edc-6a7118b99e64"/>
    <xsd:import namespace="ef1137a6-6777-4889-821d-cb9dcf18c9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f82139-a4fa-424f-9edc-6a7118b99e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43b52db-aed6-4461-b6b4-288774bd0c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1137a6-6777-4889-821d-cb9dcf18c99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ee4e665-5b83-4f28-a7ac-3fe8e41458a4}" ma:internalName="TaxCatchAll" ma:showField="CatchAllData" ma:web="ef1137a6-6777-4889-821d-cb9dcf18c9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1137a6-6777-4889-821d-cb9dcf18c995" xsi:nil="true"/>
    <lcf76f155ced4ddcb4097134ff3c332f xmlns="3af82139-a4fa-424f-9edc-6a7118b99e6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9CEC83-ED89-4EB8-B103-B2DDD70450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f82139-a4fa-424f-9edc-6a7118b99e64"/>
    <ds:schemaRef ds:uri="ef1137a6-6777-4889-821d-cb9dcf18c9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031A01D-F5C2-41BB-8EDD-ACAD5DF4A47C}">
  <ds:schemaRefs>
    <ds:schemaRef ds:uri="http://schemas.microsoft.com/office/2006/metadata/properties"/>
    <ds:schemaRef ds:uri="http://schemas.microsoft.com/office/infopath/2007/PartnerControls"/>
    <ds:schemaRef ds:uri="ef1137a6-6777-4889-821d-cb9dcf18c995"/>
    <ds:schemaRef ds:uri="3af82139-a4fa-424f-9edc-6a7118b99e64"/>
  </ds:schemaRefs>
</ds:datastoreItem>
</file>

<file path=customXml/itemProps3.xml><?xml version="1.0" encoding="utf-8"?>
<ds:datastoreItem xmlns:ds="http://schemas.openxmlformats.org/officeDocument/2006/customXml" ds:itemID="{29975830-5686-4BD6-8E52-D7EC04C5B03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Suitability Indices</vt:lpstr>
      <vt:lpstr>Vegetation and Pool Calculation</vt:lpstr>
      <vt:lpstr>Canopy and Cobble Calculation</vt:lpstr>
      <vt:lpstr>Riffle Substrate Calculation</vt:lpstr>
      <vt:lpstr>Additional Site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Stich, Daniel</cp:lastModifiedBy>
  <cp:revision/>
  <dcterms:created xsi:type="dcterms:W3CDTF">2026-07-20T19:38:38Z</dcterms:created>
  <dcterms:modified xsi:type="dcterms:W3CDTF">2026-07-28T12:56:37Z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0x0101004ACDCFD380D32545B07D90DCC3582B86</vt:lpwstr>
  </property>
</Properties>
</file>